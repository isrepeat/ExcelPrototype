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5961C14B-42A9-4BDB-8547-371E36F41933}" xr6:coauthVersionLast="47" xr6:coauthVersionMax="47" xr10:uidLastSave="{00000000-0000-0000-0000-000000000000}"/>
  <bookViews>
    <workbookView xWindow="-120" yWindow="-120" windowWidth="29040" windowHeight="15720" activeTab="1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calcCompleted="0" calcOnSave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8" i="2" l="1"/>
  <c r="N8" i="2"/>
  <c r="Y8" i="2"/>
  <c r="Z8" i="2"/>
  <c r="Z7" i="2"/>
  <c r="Y7" i="2"/>
  <c r="N7" i="2"/>
  <c r="H7" i="2"/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<sst xmlns="http://schemas.openxmlformats.org/spreadsheetml/2006/main" count="158" uniqueCount="96">
  <si>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</si>
  <si>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</si>
  <si>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</si>
  <si>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</si>
  <si>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</si>
  <si>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</si>
  <si>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</si>
  <si>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</si>
  <si>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</si>
  <si>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</si>
  <si>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</si>
  <si>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</si>
  <si>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</si>
  <si>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</si>
  <si>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</si>
  <si>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</si>
  <si>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</si>
  <si>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</si>
  <si>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</si>
  <si>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</si>
  <si>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</si>
  <si>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</si>
  <si>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</si>
  <si>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</si>
  <si>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</si>
  <si>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</si>
  <si>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</si>
  <si>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</si>
  <si>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</si>
  <si>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</si>
  <si>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</si>
  <si>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</si>
  <si>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</si>
  <si>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</si>
  <si>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</si>
  <si>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</si>
  <si>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</si>
  <si>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</si>
  <si>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</si>
  <si>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</si>
  <si>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</si>
  <si>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</si>
  <si>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</si>
  <si>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</si>
  <si>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</si>
  <si>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</si>
  <si>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</si>
  <si>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</si>
  <si>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</si>
  <si>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</si>
  <si>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</si>
  <si>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</si>
  <si>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</si>
  <si>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</si>
  <si>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</si>
  <si>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</si>
  <si>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</si>
  <si>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</si>
  <si>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</si>
  <si>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</si>
  <si>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</si>
  <si>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</si>
  <si>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</si>
  <si>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</si>
  <si>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</si>
  <si>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</si>
  <si>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</si>
  <si>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</si>
  <si>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</si>
  <si>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</si>
  <si>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</si>
  <si>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</si>
  <si>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</si>
  <si>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</si>
  <si>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</si>
  <si>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</si>
  <si>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</si>
  <si>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</si>
  <si>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</si>
  <si>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</si>
  <si>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</si>
  <si>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</si>
  <si>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</si>
  <si>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</si>
  <si>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</si>
  <si>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</si>
  <si>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</si>
  <si>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</si>
  <si>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</si>
  <si>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</si>
  <si>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</si>
  <si>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</si>
  <si>
    <t>298</t>
  </si>
  <si>
    <t>м. Тестоград</t>
  </si>
  <si>
    <t>рапорт лейтенанта БОНДАРЕНКА О.Ю. (вх. № 1656/1236-в (ТЕСТ-S03-1) від 15.10.2026).</t>
  </si>
  <si>
    <t>2026/298/7 (ТЕСТ-S03-1)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</si>
</sst>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9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  <font>
      <sz val="12"/>
      <color theme="5" tint="0.39997558519241921"/>
      <name val="Times New Roman"/>
      <charset val="204"/>
    </font>
    <font>
      <sz val="12"/>
      <color theme="2" tint="-0.249977111117893"/>
      <name val="Times New Roman"/>
      <charset val="204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vertical="center" wrapText="1"/>
    </xf>
    <xf numFmtId="49" fontId="11" fillId="0" borderId="1" xfId="0" applyNumberFormat="1" applyFont="1" applyFill="1" applyBorder="1" applyAlignment="1">
      <alignment horizontal="left" vertical="center" wrapText="1"/>
    </xf>
    <xf numFmtId="49" fontId="11" fillId="0" borderId="1" xfId="0" applyNumberFormat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left" vertical="center" wrapText="1"/>
    </xf>
    <xf numFmtId="164" fontId="38" fillId="0" borderId="1" xfId="0" applyNumberFormat="1" applyFont="1" applyFill="1" applyBorder="1" applyAlignment="1">
      <alignment horizontal="center" vertical="center" wrapText="1"/>
    </xf>
    <xf numFmtId="164" fontId="9" fillId="0" borderId="7" xfId="0" applyNumberFormat="1" applyFont="1" applyFill="1" applyBorder="1" applyAlignment="1">
      <alignment horizontal="center" vertical="center" wrapText="1"/>
    </xf>
    <xf numFmtId="49" fontId="37" fillId="0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8" totalsRowShown="0" headerRowDxfId="107" dataDxfId="105" headerRowBorderDxfId="106" tableBorderDxfId="104" totalsRowBorderDxfId="103">
  <autoFilter ref="B6:Z8" xr:uid="{03BF2BF6-7299-48F6-9181-C6E383513CFF}"/>
  <tableColumns count="25">
    <tableColumn id="23" xr3:uid="{D0522B88-691F-46AA-B360-9C8EB04ED8F0}" name="Звання" dataDxfId="102"/>
    <tableColumn id="1" xr3:uid="{E63B5043-2E34-4E12-9B57-1B87525A44BF}" name="ПІБ" dataDxfId="101"/>
    <tableColumn id="3" xr3:uid="{511D6E01-5069-479C-8E25-39A129866BD7}" name="ІПН" dataDxfId="100"/>
    <tableColumn id="2" xr3:uid="{78B24F84-AA8C-442D-9644-6D5BF7C59758}" name="Посада" dataDxfId="99"/>
    <tableColumn id="14" xr3:uid="{28CAA37E-A0A0-4040-ABB2-43DEBA2B2078}" name="Подія" dataDxfId="98"/>
    <tableColumn id="20" xr3:uid="{7AA2FDF7-1EFA-464C-AE92-DAF9BE8F37AF}" name="Куди" dataDxfId="97"/>
    <tableColumn id="15" xr3:uid="{A5E9A3A0-F198-4C09-A472-63D68A423C70}" name="За межі" dataDxfId="96">
      <calculatedColumnFormula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calculatedColumnFormula>
    </tableColumn>
    <tableColumn id="6" xr3:uid="{76A25A6E-BCA5-4F25-A71A-5EADBA70CFFE}" name="Вибуття.Наказ" dataDxfId="95"/>
    <tableColumn id="12" xr3:uid="{4582446E-5BA7-40C6-A9DF-A97AA481AA69}" name="Вибуття.Продовольче" dataDxfId="94"/>
    <tableColumn id="5" xr3:uid="{2EAEEE3C-AEBA-40D3-8EC5-516257FAF8A1}" name="Вибуття" dataDxfId="93"/>
    <tableColumn id="26" xr3:uid="{67841213-1153-4EE3-9F7F-2DF9A0EB51C4}" name="Вибуття.Термін" dataDxfId="92"/>
    <tableColumn id="24" xr3:uid="{7E005C93-F48E-47D6-BCAA-622030AAB017}" name="Вибуття.Дорога" dataDxfId="91"/>
    <tableColumn id="7" xr3:uid="{8FC0D9AF-F6E5-4E28-BCC0-E5A0398D96AC}" name="Прибуття.План" dataDxfId="90">
      <calculatedColumnFormula>IF(0&lt;LEN(ТВ[[#This Row],[Вибуття.Термін]]),ТВ[[#This Row],[Вибуття]]+SUM(ТВ[[#This Row],[Вибуття.Термін]],ТВ[[#This Row],[Вибуття.Дорога]]),"")</calculatedColumnFormula>
    </tableColumn>
    <tableColumn id="8" xr3:uid="{3FFF5AFA-0EEF-4C0D-BABA-678AC8B5097F}" name="Прибуття" dataDxfId="89"/>
    <tableColumn id="13" xr3:uid="{24EBE716-7B3B-449D-85A4-17A7913FCDB1}" name="Прибуття.Продовольче" dataDxfId="88"/>
    <tableColumn id="9" xr3:uid="{5ACA129D-F8B1-4F65-9476-060ECB83D7EC}" name="Прибуття.Наказ" dataDxfId="87"/>
    <tableColumn id="19" xr3:uid="{80DA97C7-D398-453B-9DDD-91F88FDE1069}" name="Вибуття.Підстава" dataDxfId="86"/>
    <tableColumn id="10" xr3:uid="{F676B029-0B4E-4B8A-BB58-8B1ABF2282CF}" name="Супровідний документ" dataDxfId="85"/>
    <tableColumn id="21" xr3:uid="{68C46D36-C3D9-45EC-A5EC-27C99200129D}" name="Прибуття.Підстава" dataDxfId="84"/>
    <tableColumn id="4" xr3:uid="{8014E7F7-3A67-4DE9-98CE-69BA80D296E8}" name="ТВО.ПІБ" dataDxfId="83"/>
    <tableColumn id="17" xr3:uid="{C9EAF0D5-E420-4FB3-A023-F1810EA086FF}" name="ТВО.ІПН" dataDxfId="82"/>
    <tableColumn id="16" xr3:uid="{5203D726-0F5A-4A22-85E6-7E12C61B32AD}" name="ТВО.Посада" dataDxfId="81"/>
    <tableColumn id="11" xr3:uid="{01DCAA95-5E91-491A-8F62-BDC92CE6C4CF}" name="Додаткова інформація" dataDxfId="80"/>
    <tableColumn id="25" xr3:uid="{D83D9970-3A3E-4147-9796-204032FAE773}" name="Валідація" dataDxfId="79">
      <calculatedColumnFormula>OR(ISBLANK(ТВ[[#This Row],[Прибуття]]),ТВ[[#This Row],[Прибуття]]&gt;=ТВ[[#This Row],[Вибуття]])</calculatedColumnFormula>
    </tableColumn>
    <tableColumn id="22" xr3:uid="{6A2C40B6-DBD4-4DCA-91D8-2B6E46406C04}" name="Статус потенціально незакритих записів" dataDxfId="78">
      <calculatedColumnFormula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calculatedColumnFormula>
    </tableColumn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77" dataDxfId="76">
  <autoFilter ref="B5:S6" xr:uid="{13325B93-3D3A-4E6F-8E79-C74875484351}"/>
  <tableColumns count="18">
    <tableColumn id="17" xr3:uid="{869D7C51-7599-444E-AB20-BA510E6E5689}" name="Звання" dataDxfId="75"/>
    <tableColumn id="1" xr3:uid="{861CB680-BEE1-4313-B10B-6F9C19AE242A}" name="ПІБ" dataDxfId="74"/>
    <tableColumn id="2" xr3:uid="{0B5478FF-AAAF-4F28-9D1B-7AD60CE46EB3}" name="Посада" dataDxfId="73"/>
    <tableColumn id="5" xr3:uid="{6AAA71DE-C57B-42DB-8889-89B0F67CD162}" name="Звідки" dataDxfId="72"/>
    <tableColumn id="8" xr3:uid="{D21D3EF6-3B0A-41C2-ACA6-6FD5CD9621B0}" name="Прибуття.Наказ" dataDxfId="71"/>
    <tableColumn id="7" xr3:uid="{CF41501C-E770-4B54-9E6F-28986887B970}" name="Прибуття.Продовольче" dataDxfId="70"/>
    <tableColumn id="6" xr3:uid="{DE965605-3F3A-4621-AD9D-AB4F6CA6C058}" name="Прибуття" dataDxfId="69"/>
    <tableColumn id="20" xr3:uid="{C164CFC8-8450-4920-9432-DA5A0A75E956}" name="Прибуття.Термін" dataDxfId="68"/>
    <tableColumn id="9" xr3:uid="{AB1C6792-8F60-4EA7-8B22-1FDF931B7784}" name="Вибуття.План" dataDxfId="67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66"/>
    <tableColumn id="11" xr3:uid="{A02DBD32-961D-48E7-A388-117C35E1296F}" name="Вибуття.Продовольче" dataDxfId="65"/>
    <tableColumn id="12" xr3:uid="{5A55E6EA-C224-44FF-8054-00067BCCCBBB}" name="Вибуття.Наказ" dataDxfId="64"/>
    <tableColumn id="3" xr3:uid="{8FECB91D-AAD1-4C2E-A05B-77DBD4FD0331}" name="Прибуття.Підстава" dataDxfId="63"/>
    <tableColumn id="13" xr3:uid="{63ED4C05-5F34-44A1-8E0E-E81CD9E9AAAE}" name="Супровідний документ" dataDxfId="62"/>
    <tableColumn id="21" xr3:uid="{E85386A2-2880-4D1F-9D64-84EEBCBF5ADE}" name="Вибуття.Підстава" dataDxfId="61"/>
    <tableColumn id="15" xr3:uid="{DE583A11-199F-4E18-B04A-04B4415C9F81}" name="В строю" dataDxfId="60"/>
    <tableColumn id="16" xr3:uid="{03FE55D6-CE1D-43ED-B053-8CE2C10BE9EA}" name="На продовольчому" dataDxfId="59"/>
    <tableColumn id="14" xr3:uid="{23D7BA08-CB5A-4578-AD30-94FE92B0A8B7}" name="Додаткова інформація" dataDxfId="58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57" headerRowBorderDxfId="56" tableBorderDxfId="55" totalsRowBorderDxfId="54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53" dataCellStyle="Обычный 4"/>
    <tableColumn id="2" xr3:uid="{06CB9FC2-BA7F-450B-8B87-FAEF0F7D233A}" name="ПІБ" dataDxfId="52" dataCellStyle="Обычный 4"/>
    <tableColumn id="3" xr3:uid="{6F9AF911-966D-4312-98FA-F04560B7C284}" name="ІПН" dataDxfId="51" dataCellStyle="Обычный 4"/>
    <tableColumn id="4" xr3:uid="{69076939-1B3A-49BA-A28B-EC49FCAE0E62}" name="Посада.Своя" dataDxfId="50"/>
    <tableColumn id="5" xr3:uid="{520C44BB-4F06-4DD1-B144-518104E8CD2C}" name="Посада.Заміщує" dataDxfId="49"/>
    <tableColumn id="12" xr3:uid="{2956FE72-ADE6-4E53-B28E-1C7141589179}" name="Чи.Вакантна" dataDxfId="48"/>
    <tableColumn id="8" xr3:uid="{670DB72E-E742-4F4D-8256-5B079FC741B1}" name="Доступ.Наказ" dataDxfId="47"/>
    <tableColumn id="6" xr3:uid="{708737BB-65AF-44F8-8B1B-1B3429573579}" name="Прийняття.Наказ" dataDxfId="46"/>
    <tableColumn id="9" xr3:uid="{A2E0F223-07B7-465E-AB5F-05433F54FD70}" name="Прийняття" dataDxfId="45"/>
    <tableColumn id="10" xr3:uid="{D679CF06-FD4F-4D16-B79A-282BFAA55C84}" name="Здавання.План" dataDxfId="44"/>
    <tableColumn id="11" xr3:uid="{22AC5107-8FCC-4072-8FCD-F3091FD770E3}" name="Здавання" dataDxfId="43"/>
    <tableColumn id="7" xr3:uid="{1A36938E-580B-4F0D-B26E-1334D1734008}" name="Здавання.Наказ" dataDxfId="42"/>
    <tableColumn id="20" xr3:uid="{4328A89E-BB13-4BE8-B371-F2B383209500}" name="Прийняття.Підстава" dataDxfId="41"/>
    <tableColumn id="24" xr3:uid="{50B9E2A9-016F-400B-A836-205075689530}" name="Здавання.Підстава" dataDxfId="40"/>
    <tableColumn id="13" xr3:uid="{8F4B0E88-FAB0-4E11-80EB-3C852A18B50F}" name="Додаткова інформація" dataDxfId="39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38" dataDxfId="36" headerRowBorderDxfId="37" tableBorderDxfId="35" totalsRowBorderDxfId="34">
  <autoFilter ref="B2:L3" xr:uid="{8157D2FD-63BB-4D20-8250-C8BD7575252C}"/>
  <tableColumns count="11">
    <tableColumn id="1" xr3:uid="{CEBC3037-0DDC-489D-9B59-92B0A02A3916}" name="Звання" dataDxfId="33"/>
    <tableColumn id="2" xr3:uid="{7D62CC4D-4D61-4B89-8001-CF34F177B895}" name="ПІБ" dataDxfId="32"/>
    <tableColumn id="3" xr3:uid="{50676DB3-E4F0-4B8B-9CEF-CCE5E889FE70}" name="Установа" dataDxfId="31"/>
    <tableColumn id="4" xr3:uid="{72FB36B2-D781-41D7-ABA3-975FBF177F0B}" name="Група" dataDxfId="30"/>
    <tableColumn id="6" xr3:uid="{94B55ACF-AFD3-4C11-914F-C4F66C1C554E}" name="Зарахування" dataDxfId="29"/>
    <tableColumn id="7" xr3:uid="{E7040424-77B3-4AC4-8385-EDF05F0F0E2B}" name="Зарахування.Наказ" dataDxfId="28"/>
    <tableColumn id="8" xr3:uid="{6A22E2CA-CDAD-4316-8CAE-162494C8BE60}" name="Виключення" dataDxfId="27"/>
    <tableColumn id="9" xr3:uid="{CBD8EEED-0DD1-48E6-88E8-4CC85A425314}" name="Виключення.Наказ" dataDxfId="26"/>
    <tableColumn id="11" xr3:uid="{B7A53F78-F663-4AC2-8AD2-B07B5635C736}" name="Зарахування.Підстава" dataDxfId="25"/>
    <tableColumn id="5" xr3:uid="{8725047B-ED1A-4A31-96B9-4ABB66219E2B}" name="Виключення.Підстава" dataDxfId="24"/>
    <tableColumn id="10" xr3:uid="{378AEA18-44B6-48A5-9182-3DFB63642AB6}" name="Додаткова інформація" dataDxfId="2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22" dataDxfId="21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20"/>
    <tableColumn id="2" xr3:uid="{3EC9293F-5B5D-4697-9887-8283ECD97C14}" name="ПІБ" dataDxfId="19"/>
    <tableColumn id="3" xr3:uid="{802764E8-A089-4F01-A468-5A9E587A5A6A}" name="ІПН/Установа" dataDxfId="18"/>
    <tableColumn id="6" xr3:uid="{AEAF8250-59CC-4D38-90DD-D59F3864931F}" name="Початок" dataDxfId="17"/>
    <tableColumn id="7" xr3:uid="{2F04C515-9C45-43AB-A477-B9AB8370FF32}" name="Тривалість" dataDxfId="16"/>
    <tableColumn id="8" xr3:uid="{A55B5621-1CCA-4168-A8BD-6818F1E21377}" name="Припинення" dataDxfId="15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14"/>
    <tableColumn id="9" xr3:uid="{1EFC49B0-B423-4D5D-A35B-6802EB563DB1}" name="Наказ" dataDxfId="13"/>
    <tableColumn id="10" xr3:uid="{D89D78D7-7B86-4267-9858-FB5483C345FD}" name="Додаткова інформація" dataDxfId="1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abSelected="1" topLeftCell="A3" zoomScale="70" zoomScaleNormal="70" workbookViewId="0">
      <selection activeCell="C6" sqref="C6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x14ac:dyDescent="0.25">
      <c r="B7" s="55"/>
      <c r="C7" s="56"/>
      <c r="D7" s="58"/>
      <c r="E7" s="57"/>
      <c r="F7" s="63"/>
      <c r="G7" s="63"/>
      <c r="H7" s="102" t="e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#N/A</v>
      </c>
      <c r="I7" s="58"/>
      <c r="J7" s="60"/>
      <c r="K7" s="59"/>
      <c r="L7" s="57"/>
      <c r="M7" s="57"/>
      <c r="N7" s="113" t="str">
        <f>IF(0&lt;LEN(ТВ[[#This Row],[Вибуття.Термін]]),ТВ[[#This Row],[Вибуття]]+SUM(ТВ[[#This Row],[Вибуття.Термін]],ТВ[[#This Row],[Вибуття.Дорога]]),"")</f>
        <v/>
      </c>
      <c r="O7" s="59"/>
      <c r="P7" s="60"/>
      <c r="Q7" s="58"/>
      <c r="R7" s="61"/>
      <c r="S7" s="57"/>
      <c r="T7" s="61"/>
      <c r="U7" s="76"/>
      <c r="V7" s="77"/>
      <c r="W7" s="77"/>
      <c r="X7" s="114"/>
      <c r="Y7" s="62" t="b">
        <f>OR(ISBLANK(ТВ[[#This Row],[Прибуття]]),ТВ[[#This Row],[Прибуття]]&gt;=ТВ[[#This Row],[Вибуття]])</f>
        <v>1</v>
      </c>
      <c r="Z7" s="61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7" s="42"/>
      <c r="AB7" s="42"/>
      <c r="AC7" s="42"/>
      <c r="AD7" s="42"/>
      <c r="AE7" s="42"/>
      <c r="AF7" s="42"/>
      <c r="AG7" s="42"/>
    </row>
    <row r="8" spans="2:51" s="37" customFormat="1" ht="47.25" x14ac:dyDescent="0.25">
      <c r="B8" s="141"/>
      <c r="C8" s="151" t="s">
        <v>40</v>
      </c>
      <c r="D8" s="142" t="s">
        <v>91</v>
      </c>
      <c r="E8" s="143"/>
      <c r="F8" s="154" t="s">
        <v>26</v>
      </c>
      <c r="G8" s="154" t="s">
        <v>93</v>
      </c>
      <c r="H8" s="140" t="str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Так</v>
      </c>
      <c r="I8" s="142" t="s">
        <v>92</v>
      </c>
      <c r="J8" s="152">
        <v>46311</v>
      </c>
      <c r="K8" s="144">
        <v>46310</v>
      </c>
      <c r="L8" s="145"/>
      <c r="M8" s="145"/>
      <c r="N8" s="153" t="str">
        <f>IF(0&lt;LEN(ТВ[[#This Row],[Вибуття.Термін]]),ТВ[[#This Row],[Вибуття]]+SUM(ТВ[[#This Row],[Вибуття.Термін]],ТВ[[#This Row],[Вибуття.Дорога]]),"")</f>
        <v/>
      </c>
      <c r="O8" s="144"/>
      <c r="P8" s="146"/>
      <c r="Q8" s="142"/>
      <c r="R8" s="151" t="s">
        <v>94</v>
      </c>
      <c r="S8" s="142" t="s">
        <v>95</v>
      </c>
      <c r="T8" s="147"/>
      <c r="U8" s="148"/>
      <c r="V8" s="149"/>
      <c r="W8" s="149"/>
      <c r="X8" s="150"/>
      <c r="Y8" s="147" t="b">
        <f>OR(ISBLANK(ТВ[[#This Row],[Прибуття]]),ТВ[[#This Row],[Прибуття]]&gt;=ТВ[[#This Row],[Вибуття]])</f>
        <v>1</v>
      </c>
      <c r="Z8" s="147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43"/>
      <c r="C9" s="43"/>
      <c r="D9" s="19"/>
      <c r="E9" s="42"/>
      <c r="F9" s="38"/>
      <c r="G9" s="39"/>
      <c r="H9" s="19"/>
      <c r="I9" s="42"/>
      <c r="J9" s="42"/>
      <c r="K9" s="42"/>
      <c r="L9" s="42"/>
      <c r="M9" s="44"/>
      <c r="N9" s="42"/>
      <c r="O9" s="44"/>
      <c r="P9" s="44"/>
      <c r="Q9" s="42"/>
      <c r="R9" s="19"/>
      <c r="S9" s="43"/>
      <c r="T9" s="43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43"/>
      <c r="C10" s="43"/>
      <c r="D10" s="19"/>
      <c r="E10" s="42"/>
      <c r="F10" s="38"/>
      <c r="G10" s="39"/>
      <c r="H10" s="19"/>
      <c r="I10" s="42"/>
      <c r="J10" s="42"/>
      <c r="K10" s="42"/>
      <c r="L10" s="42"/>
      <c r="M10" s="44"/>
      <c r="N10" s="42"/>
      <c r="O10" s="44"/>
      <c r="P10" s="44"/>
      <c r="Q10" s="42"/>
      <c r="R10" s="19"/>
      <c r="S10" s="43"/>
      <c r="T10" s="43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43"/>
      <c r="C11" s="43"/>
      <c r="D11" s="19"/>
      <c r="E11" s="42"/>
      <c r="F11" s="38"/>
      <c r="G11" s="39"/>
      <c r="H11" s="19"/>
      <c r="I11" s="42"/>
      <c r="J11" s="42"/>
      <c r="K11" s="42"/>
      <c r="L11" s="42"/>
      <c r="M11" s="44"/>
      <c r="N11" s="42"/>
      <c r="O11" s="44"/>
      <c r="P11" s="44"/>
      <c r="Q11" s="42"/>
      <c r="R11" s="19"/>
      <c r="S11" s="43"/>
      <c r="T11" s="43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43"/>
      <c r="C12" s="43"/>
      <c r="D12" s="19"/>
      <c r="E12" s="42"/>
      <c r="F12" s="38"/>
      <c r="G12" s="39"/>
      <c r="H12" s="19"/>
      <c r="I12" s="42"/>
      <c r="J12" s="42"/>
      <c r="K12" s="42"/>
      <c r="L12" s="42"/>
      <c r="M12" s="44"/>
      <c r="N12" s="42"/>
      <c r="O12" s="44"/>
      <c r="P12" s="44"/>
      <c r="Q12" s="42"/>
      <c r="R12" s="19"/>
      <c r="S12" s="43"/>
      <c r="T12" s="43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count="1">
    <dataValidation type="list" allowBlank="1" showInputMessage="1" showErrorMessage="1" sqref="F5 F7:F8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56" t="s">
        <v>21</v>
      </c>
      <c r="C2" s="156"/>
      <c r="D2" s="156"/>
      <c r="E2" s="156"/>
      <c r="F2" s="156"/>
      <c r="G2" s="156"/>
      <c r="H2" s="156"/>
      <c r="I2" s="156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55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55"/>
      <c r="E6" s="155"/>
      <c r="F6" s="155"/>
      <c r="G6" s="155"/>
      <c r="H6" s="155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>
      <selection activeCell="A9" sqref="A1:C18"/>
    </sheetView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2026-10-17T08:38:23Z</dcterms:modified>
</cp:coreProperties>
</file>