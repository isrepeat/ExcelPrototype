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FA1FB55B-5334-41EA-BFCD-AA5887971C20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<sst xmlns="http://schemas.openxmlformats.org/spreadsheetml/2006/main" count="158" uniqueCount="96">
  <si>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</si>
  <si>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</si>
  <si>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</si>
  <si>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</si>
  <si>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</si>
  <si>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</si>
  <si>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</si>
  <si>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</si>
  <si>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</si>
  <si>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</si>
  <si>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</si>
  <si>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</si>
  <si>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</si>
  <si>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</si>
  <si>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</si>
  <si>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</si>
  <si>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</si>
  <si>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</si>
  <si>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</si>
  <si>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</si>
  <si>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</si>
  <si>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</si>
  <si>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</si>
  <si>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</si>
  <si>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</si>
  <si>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</si>
  <si>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</si>
  <si>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</si>
  <si>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</si>
  <si>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</si>
  <si>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</si>
  <si>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</si>
  <si>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</si>
  <si>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</si>
  <si>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</si>
  <si>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</si>
  <si>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</si>
  <si>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</si>
  <si>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</si>
  <si>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</si>
  <si>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</si>
  <si>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</si>
  <si>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</si>
  <si>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</si>
  <si>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</si>
  <si>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</si>
  <si>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</si>
  <si>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</si>
  <si>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</si>
  <si>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</si>
  <si>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</si>
  <si>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</si>
  <si>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</si>
  <si>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</si>
  <si>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</si>
  <si>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</si>
  <si>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</si>
  <si>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</si>
  <si>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</si>
  <si>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</si>
  <si>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</si>
  <si>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</si>
  <si>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</si>
  <si>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</si>
  <si>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</si>
  <si>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</si>
  <si>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</si>
  <si>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</si>
  <si>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</si>
  <si>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</si>
  <si>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</si>
  <si>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</si>
  <si>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</si>
  <si>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</si>
  <si>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</si>
  <si>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</si>
  <si>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</si>
  <si>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</si>
  <si>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</si>
  <si>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</si>
  <si>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</si>
  <si>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</si>
  <si>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</si>
  <si>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</si>
  <si>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</si>
  <si>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</si>
  <si>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</si>
  <si>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</si>
  <si>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</si>
  <si>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</si>
  <si>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</si>
  <si>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</si>
  <si>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</si>
  <si>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</si>
  <si>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 О.Ю. (вх. № 1656/1237-в (ТЕСТ-S04-1) від 15.10.2026).</t>
  </si>
  <si>
    <t>2026/298/7 (ТЕСТ-S04-1)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</si>
</sst>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47.25" x14ac:dyDescent="0.25">
      <c r="B8" s="141"/>
      <c r="C8" s="151" t="s">
        <v>40</v>
      </c>
      <c r="D8" s="142" t="s">
        <v>91</v>
      </c>
      <c r="E8" s="143"/>
      <c r="F8" s="154" t="s">
        <v>46</v>
      </c>
      <c r="G8" s="154" t="s">
        <v>93</v>
      </c>
      <c r="H8" s="140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2" t="s">
        <v>92</v>
      </c>
      <c r="J8" s="152">
        <v>46311</v>
      </c>
      <c r="K8" s="144">
        <v>46310</v>
      </c>
      <c r="L8" s="145"/>
      <c r="M8" s="145"/>
      <c r="N8" s="153" t="str">
        <f>IF(0&lt;LEN(ТВ[[#This Row],[Вибуття.Термін]]),ТВ[[#This Row],[Вибуття]]+SUM(ТВ[[#This Row],[Вибуття.Термін]],ТВ[[#This Row],[Вибуття.Дорога]]),"")</f>
        <v/>
      </c>
      <c r="O8" s="144"/>
      <c r="P8" s="146"/>
      <c r="Q8" s="142"/>
      <c r="R8" s="151" t="s">
        <v>94</v>
      </c>
      <c r="S8" s="142" t="s">
        <v>95</v>
      </c>
      <c r="T8" s="147"/>
      <c r="U8" s="148"/>
      <c r="V8" s="149"/>
      <c r="W8" s="149"/>
      <c r="X8" s="150"/>
      <c r="Y8" s="147" t="b">
        <f>OR(ISBLANK(ТВ[[#This Row],[Прибуття]]),ТВ[[#This Row],[Прибуття]]&gt;=ТВ[[#This Row],[Вибуття]])</f>
        <v>1</v>
      </c>
      <c r="Z8" s="147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2026-10-16T13:35:45Z</dcterms:modified>
</cp:coreProperties>
</file>