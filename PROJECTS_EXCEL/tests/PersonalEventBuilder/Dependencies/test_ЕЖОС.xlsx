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ЦяКнига" defaultThemeVersion="202300"/>
  <mc:AlternateContent xmlns:mc="http://schemas.openxmlformats.org/markup-compatibility/2006">
    <mc:Choice Requires="x15">
      <x15ac:absPath xmlns:x15ac="http://schemas.microsoft.com/office/spreadsheetml/2010/11/ac" url="C:\WORK\Windows\Projects\ExcelPrototype\PROJECTS_EXCEL\tests\PersonalEventBuilder\Dependencies\"/>
    </mc:Choice>
  </mc:AlternateContent>
  <xr:revisionPtr revIDLastSave="0" documentId="13_ncr:1_{FAE89B2B-98C1-463D-8A36-62BA6DB564C7}" xr6:coauthVersionLast="47" xr6:coauthVersionMax="47" xr10:uidLastSave="{00000000-0000-0000-0000-000000000000}"/>
  <bookViews>
    <workbookView xWindow="-120" yWindow="-120" windowWidth="29040" windowHeight="15720" tabRatio="864" xr2:uid="{00000000-000D-0000-FFFF-FFFF00000000}"/>
  </bookViews>
  <sheets>
    <sheet name="5. Тимчасово відсутні" sheetId="8" r:id="rId1"/>
    <sheet name="Т (Х)" sheetId="15" state="hidden" r:id="rId2"/>
    <sheet name="5. Тимчасово відсутні_copy" sheetId="14" state="hidden" r:id="rId3"/>
  </sheets>
  <definedNames>
    <definedName name="__2026_05_22">'5. Тимчасово відсутні'!#REF!</definedName>
    <definedName name="__2026_05_23">'5. Тимчасово відсутні'!#REF!</definedName>
    <definedName name="__2026_05_24">'5. Тимчасово відсутні'!#REF!</definedName>
    <definedName name="__2026_05_25">'5. Тимчасово відсутні'!#REF!</definedName>
    <definedName name="__2026_06_01">'5. Тимчасово відсутні'!#REF!</definedName>
    <definedName name="__2026_06_05">'5. Тимчасово відсутні'!#REF!</definedName>
    <definedName name="__2026_06_10">'5. Тимчасово відсутні'!#REF!</definedName>
    <definedName name="__2026_06_15">'5. Тимчасово відсутні'!#REF!</definedName>
    <definedName name="__2026_06_20">'5. Тимчасово відсутні'!#REF!</definedName>
    <definedName name="__2026_06_30">'5. Тимчасово відсутні'!#REF!</definedName>
    <definedName name="__2026_07_01">'5. Тимчасово відсутні'!#REF!</definedName>
    <definedName name="__2026_07_05">'5. Тимчасово відсутні'!#REF!</definedName>
    <definedName name="__2026_07_15">'5. Тимчасово відсутні'!#REF!</definedName>
    <definedName name="__2026_07_20">'5. Тимчасово відсутні'!#REF!</definedName>
    <definedName name="__2026_07_26">'5. Тимчасово відсутні'!#REF!</definedName>
    <definedName name="__2026_08_02">'5. Тимчасово відсутні'!#REF!</definedName>
    <definedName name="__2026_08_11">'5. Тимчасово відсутні'!#REF!</definedName>
    <definedName name="__2026_08_20">'5. Тимчасово відсутні'!#REF!</definedName>
    <definedName name="__2026_09_01">'5. Тимчасово відсутні'!#REF!</definedName>
    <definedName name="__2026_09_15">'5. Тимчасово відсутні'!#REF!</definedName>
    <definedName name="__2026_09_23">'5. Тимчасово відсутні'!#REF!</definedName>
    <definedName name="__2026_10_01">'5. Тимчасово відсутні'!#REF!</definedName>
    <definedName name="__2026_10_15">'5. Тимчасово відсутні'!#REF!</definedName>
    <definedName name="__End_In">#REF!</definedName>
    <definedName name="_xlnm._FilterDatabase" localSheetId="0" hidden="1">'5. Тимчасово відсутні'!$A$2:$N$3</definedName>
    <definedName name="_Hlk202295995" localSheetId="0">'5. Тимчасово відсутні'!#REF!</definedName>
    <definedName name="_Hlk209368273" localSheetId="0">'5. Тимчасово відсутні'!#REF!</definedName>
    <definedName name="_Hlk209437159" localSheetId="0">'5. Тимчасово відсутні'!#REF!</definedName>
    <definedName name="_xlnm.Print_Area" localSheetId="1">'Т (Х)'!$A$1:$BQ$30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5" l="1"/>
  <c r="AJ11" i="15"/>
  <c r="AK11" i="15" l="1"/>
  <c r="AR11" i="15"/>
  <c r="AL11" i="15"/>
  <c r="AH11" i="15"/>
  <c r="AX11" i="15"/>
  <c r="T11" i="15"/>
  <c r="Z11" i="15"/>
  <c r="BH11" i="15"/>
  <c r="AF11" i="15"/>
  <c r="AP11" i="15"/>
  <c r="X11" i="15"/>
  <c r="AV11" i="15"/>
  <c r="BD11" i="15"/>
  <c r="O11" i="15"/>
  <c r="G11" i="15"/>
  <c r="R11" i="15"/>
  <c r="BJ11" i="15"/>
  <c r="AD11" i="15"/>
  <c r="E11" i="15"/>
  <c r="BB11" i="15"/>
  <c r="AA11" i="15" l="1"/>
  <c r="H11" i="15"/>
  <c r="AG11" i="15"/>
  <c r="BE11" i="15"/>
  <c r="AW11" i="15"/>
  <c r="AY11" i="15"/>
  <c r="AQ11" i="15"/>
  <c r="AE11" i="15"/>
  <c r="BC11" i="15"/>
  <c r="M11" i="15"/>
  <c r="N11" i="15" s="1"/>
  <c r="U11" i="15"/>
  <c r="BP11" i="15"/>
  <c r="BQ11" i="15" s="1"/>
  <c r="BK11" i="15"/>
  <c r="BN11" i="15"/>
  <c r="BO11" i="15" s="1"/>
  <c r="S11" i="15"/>
  <c r="AS11" i="15"/>
  <c r="Y11" i="15"/>
  <c r="BI11" i="15"/>
  <c r="AM11" i="15"/>
  <c r="K11" i="15"/>
  <c r="L11" i="15" s="1"/>
  <c r="F11" i="15"/>
  <c r="AI11" i="15"/>
  <c r="V11" i="15"/>
  <c r="P11" i="15"/>
  <c r="AN11" i="15"/>
  <c r="AT11" i="15"/>
  <c r="C11" i="15"/>
  <c r="W11" i="15" l="1"/>
  <c r="D11" i="15"/>
  <c r="BL11" i="15"/>
  <c r="BM11" i="15" s="1"/>
  <c r="I11" i="15"/>
  <c r="J11" i="15" s="1"/>
  <c r="Q11" i="15"/>
  <c r="AO11" i="15"/>
  <c r="AU11" i="15"/>
  <c r="O25" i="15" l="1"/>
  <c r="AF14" i="15"/>
  <c r="E20" i="15"/>
  <c r="BB29" i="15"/>
  <c r="R27" i="15"/>
  <c r="T9" i="15"/>
  <c r="BD13" i="15"/>
  <c r="AR12" i="15"/>
  <c r="T10" i="15"/>
  <c r="BD27" i="15"/>
  <c r="AL19" i="15"/>
  <c r="E29" i="15"/>
  <c r="AL16" i="15"/>
  <c r="AL22" i="15"/>
  <c r="AV13" i="15"/>
  <c r="BD15" i="15"/>
  <c r="AP27" i="15"/>
  <c r="AL23" i="15"/>
  <c r="T13" i="15"/>
  <c r="E13" i="15"/>
  <c r="BD21" i="15"/>
  <c r="O12" i="15"/>
  <c r="Z15" i="15"/>
  <c r="O15" i="15"/>
  <c r="BH27" i="15"/>
  <c r="O19" i="15"/>
  <c r="BB10" i="15"/>
  <c r="O23" i="15"/>
  <c r="E25" i="15"/>
  <c r="X17" i="15"/>
  <c r="AL24" i="15"/>
  <c r="AV9" i="15"/>
  <c r="G22" i="15"/>
  <c r="BH26" i="15"/>
  <c r="T14" i="15"/>
  <c r="O28" i="15"/>
  <c r="Z16" i="15"/>
  <c r="G28" i="15"/>
  <c r="AF29" i="15"/>
  <c r="AV19" i="15"/>
  <c r="BB21" i="15"/>
  <c r="AR18" i="15"/>
  <c r="R21" i="15"/>
  <c r="BJ28" i="15"/>
  <c r="G21" i="15"/>
  <c r="AP29" i="15"/>
  <c r="X28" i="15"/>
  <c r="C29" i="15"/>
  <c r="E22" i="15"/>
  <c r="E28" i="15"/>
  <c r="E18" i="15"/>
  <c r="AJ28" i="15"/>
  <c r="O13" i="15"/>
  <c r="O26" i="15"/>
  <c r="AJ20" i="15"/>
  <c r="BH25" i="15"/>
  <c r="BB19" i="15"/>
  <c r="AJ19" i="15"/>
  <c r="AJ24" i="15"/>
  <c r="AR16" i="15"/>
  <c r="BD26" i="15"/>
  <c r="T17" i="15"/>
  <c r="AR19" i="15"/>
  <c r="BB17" i="15"/>
  <c r="BB18" i="15"/>
  <c r="E26" i="15"/>
  <c r="BB16" i="15"/>
  <c r="Z10" i="15"/>
  <c r="AL14" i="15"/>
  <c r="AJ27" i="15"/>
  <c r="AV20" i="15"/>
  <c r="AD22" i="15"/>
  <c r="AF27" i="15"/>
  <c r="AD20" i="15"/>
  <c r="BJ18" i="15"/>
  <c r="Z18" i="15"/>
  <c r="O18" i="15"/>
  <c r="BB12" i="15"/>
  <c r="AB20" i="15"/>
  <c r="BJ17" i="15"/>
  <c r="BB28" i="15"/>
  <c r="AD9" i="15"/>
  <c r="AJ18" i="15"/>
  <c r="E21" i="15"/>
  <c r="Z17" i="15"/>
  <c r="E23" i="15"/>
  <c r="T16" i="15"/>
  <c r="AD17" i="15"/>
  <c r="AD26" i="15"/>
  <c r="G23" i="15"/>
  <c r="AP25" i="15"/>
  <c r="AD18" i="15"/>
  <c r="AP19" i="15"/>
  <c r="AR28" i="15"/>
  <c r="BD9" i="15"/>
  <c r="AR9" i="15"/>
  <c r="AV26" i="15"/>
  <c r="C22" i="15"/>
  <c r="AZ16" i="15"/>
  <c r="AZ17" i="15"/>
  <c r="AH27" i="15"/>
  <c r="AB18" i="15"/>
  <c r="AB26" i="15"/>
  <c r="G19" i="15"/>
  <c r="E27" i="15"/>
  <c r="AV17" i="15"/>
  <c r="AD27" i="15"/>
  <c r="E14" i="15"/>
  <c r="AP28" i="15"/>
  <c r="AP22" i="15"/>
  <c r="AF25" i="15"/>
  <c r="R10" i="15"/>
  <c r="X21" i="15"/>
  <c r="AL9" i="15"/>
  <c r="Z24" i="15"/>
  <c r="BH29" i="15"/>
  <c r="BD22" i="15"/>
  <c r="AX17" i="15"/>
  <c r="AV22" i="15"/>
  <c r="T29" i="15"/>
  <c r="Z19" i="15"/>
  <c r="BB14" i="15"/>
  <c r="AV29" i="15"/>
  <c r="X12" i="15"/>
  <c r="AX13" i="15"/>
  <c r="G12" i="15"/>
  <c r="G17" i="15"/>
  <c r="AF22" i="15"/>
  <c r="AL28" i="15"/>
  <c r="AX21" i="15"/>
  <c r="AP26" i="15"/>
  <c r="Z29" i="15"/>
  <c r="AL21" i="15"/>
  <c r="P10" i="15"/>
  <c r="X18" i="15"/>
  <c r="X9" i="15"/>
  <c r="T27" i="15"/>
  <c r="V18" i="15"/>
  <c r="G13" i="15"/>
  <c r="Z14" i="15"/>
  <c r="AR26" i="15"/>
  <c r="AX29" i="15"/>
  <c r="O10" i="15"/>
  <c r="R18" i="15"/>
  <c r="AD19" i="15"/>
  <c r="AX18" i="15"/>
  <c r="BJ13" i="15"/>
  <c r="BD12" i="15"/>
  <c r="X22" i="15"/>
  <c r="BH21" i="15"/>
  <c r="AN27" i="15"/>
  <c r="BD28" i="15"/>
  <c r="V28" i="15"/>
  <c r="AV21" i="15"/>
  <c r="G29" i="15"/>
  <c r="AJ10" i="15"/>
  <c r="AL25" i="15"/>
  <c r="G18" i="15"/>
  <c r="BH20" i="15"/>
  <c r="AD23" i="15"/>
  <c r="BJ24" i="15"/>
  <c r="AP12" i="15"/>
  <c r="AP24" i="15"/>
  <c r="E17" i="15"/>
  <c r="AJ14" i="15"/>
  <c r="AV23" i="15"/>
  <c r="AP21" i="15"/>
  <c r="R23" i="15"/>
  <c r="AD13" i="15"/>
  <c r="AJ15" i="15"/>
  <c r="AF12" i="15"/>
  <c r="E16" i="15"/>
  <c r="BJ21" i="15"/>
  <c r="AX10" i="15"/>
  <c r="BB20" i="15"/>
  <c r="BD14" i="15"/>
  <c r="AD15" i="15"/>
  <c r="AF17" i="15"/>
  <c r="R13" i="15"/>
  <c r="BF21" i="15"/>
  <c r="AP13" i="15"/>
  <c r="AR24" i="15"/>
  <c r="BJ16" i="15"/>
  <c r="Z9" i="15"/>
  <c r="AF28" i="15"/>
  <c r="BJ20" i="15"/>
  <c r="AB11" i="15"/>
  <c r="E9" i="15"/>
  <c r="AF10" i="15"/>
  <c r="R9" i="15"/>
  <c r="AX28" i="15"/>
  <c r="AR21" i="15"/>
  <c r="R24" i="15"/>
  <c r="R29" i="15"/>
  <c r="BH23" i="15"/>
  <c r="AL12" i="15"/>
  <c r="AX15" i="15"/>
  <c r="AX16" i="15"/>
  <c r="AJ17" i="15"/>
  <c r="AL17" i="15"/>
  <c r="G26" i="15"/>
  <c r="BD24" i="15"/>
  <c r="AL15" i="15"/>
  <c r="E19" i="15"/>
  <c r="AD28" i="15"/>
  <c r="T19" i="15"/>
  <c r="AZ10" i="15"/>
  <c r="C14" i="15"/>
  <c r="AT19" i="15"/>
  <c r="V22" i="15"/>
  <c r="AT9" i="15"/>
  <c r="P9" i="15"/>
  <c r="AN25" i="15"/>
  <c r="C21" i="15"/>
  <c r="AB17" i="15"/>
  <c r="Z22" i="15"/>
  <c r="R28" i="15"/>
  <c r="AL20" i="15"/>
  <c r="BB22" i="15"/>
  <c r="BJ9" i="15"/>
  <c r="AP17" i="15"/>
  <c r="AF26" i="15"/>
  <c r="AV15" i="15"/>
  <c r="R25" i="15"/>
  <c r="BB26" i="15"/>
  <c r="AR23" i="15"/>
  <c r="X13" i="15"/>
  <c r="X24" i="15"/>
  <c r="BB27" i="15"/>
  <c r="AX24" i="15"/>
  <c r="G9" i="15"/>
  <c r="Z20" i="15"/>
  <c r="AV14" i="15"/>
  <c r="AF13" i="15"/>
  <c r="O16" i="15"/>
  <c r="BJ19" i="15"/>
  <c r="AL18" i="15"/>
  <c r="AP9" i="15"/>
  <c r="O24" i="15"/>
  <c r="AT13" i="15"/>
  <c r="BH14" i="15"/>
  <c r="T20" i="15"/>
  <c r="BH19" i="15"/>
  <c r="AJ16" i="15"/>
  <c r="Z27" i="15"/>
  <c r="R15" i="15"/>
  <c r="O17" i="15"/>
  <c r="AR14" i="15"/>
  <c r="BB25" i="15"/>
  <c r="R16" i="15"/>
  <c r="AF9" i="15"/>
  <c r="BJ29" i="15"/>
  <c r="AL26" i="15"/>
  <c r="BD16" i="15"/>
  <c r="BJ14" i="15"/>
  <c r="AL29" i="15"/>
  <c r="BF27" i="15"/>
  <c r="G15" i="15"/>
  <c r="Z25" i="15"/>
  <c r="X29" i="15"/>
  <c r="BH24" i="15"/>
  <c r="E10" i="15"/>
  <c r="BF19" i="15"/>
  <c r="O29" i="15"/>
  <c r="AT29" i="15"/>
  <c r="BH13" i="15"/>
  <c r="BD25" i="15"/>
  <c r="AR22" i="15"/>
  <c r="AL27" i="15"/>
  <c r="AR17" i="15"/>
  <c r="AD29" i="15"/>
  <c r="AB29" i="15" s="1"/>
  <c r="T26" i="15"/>
  <c r="T22" i="15"/>
  <c r="AF16" i="15"/>
  <c r="E24" i="15"/>
  <c r="BD19" i="15"/>
  <c r="AB27" i="15"/>
  <c r="AJ21" i="15"/>
  <c r="P23" i="15"/>
  <c r="AB23" i="15"/>
  <c r="BJ12" i="15"/>
  <c r="BH22" i="15"/>
  <c r="R14" i="15"/>
  <c r="C20" i="15"/>
  <c r="BH28" i="15"/>
  <c r="T12" i="15"/>
  <c r="AX23" i="15"/>
  <c r="AD25" i="15"/>
  <c r="BH18" i="15"/>
  <c r="P21" i="15"/>
  <c r="AN12" i="15"/>
  <c r="AZ21" i="15"/>
  <c r="AH24" i="15"/>
  <c r="AR27" i="15"/>
  <c r="BH9" i="15"/>
  <c r="AR29" i="15"/>
  <c r="G27" i="15"/>
  <c r="AJ23" i="15"/>
  <c r="AJ13" i="15"/>
  <c r="AX27" i="15"/>
  <c r="AP15" i="15"/>
  <c r="Z13" i="15"/>
  <c r="AV25" i="15"/>
  <c r="AJ29" i="15"/>
  <c r="AX14" i="15"/>
  <c r="AD10" i="15"/>
  <c r="C24" i="15"/>
  <c r="G10" i="15"/>
  <c r="X14" i="15"/>
  <c r="BD29" i="15"/>
  <c r="T15" i="15"/>
  <c r="G16" i="15"/>
  <c r="AP16" i="15"/>
  <c r="R17" i="15"/>
  <c r="AF15" i="15"/>
  <c r="AV10" i="15"/>
  <c r="AD21" i="15"/>
  <c r="G14" i="15"/>
  <c r="AT25" i="15"/>
  <c r="X25" i="15"/>
  <c r="AJ9" i="15"/>
  <c r="AZ14" i="15"/>
  <c r="C26" i="15"/>
  <c r="AH10" i="15"/>
  <c r="BF20" i="15"/>
  <c r="AH14" i="15"/>
  <c r="AV28" i="15"/>
  <c r="AP10" i="15"/>
  <c r="BB15" i="15"/>
  <c r="AX20" i="15"/>
  <c r="AX19" i="15"/>
  <c r="AF24" i="15"/>
  <c r="AD14" i="15"/>
  <c r="AR20" i="15"/>
  <c r="BH10" i="15"/>
  <c r="AD16" i="15"/>
  <c r="AP14" i="15"/>
  <c r="AV27" i="15"/>
  <c r="Z28" i="15"/>
  <c r="AJ26" i="15"/>
  <c r="AJ25" i="15"/>
  <c r="O9" i="15"/>
  <c r="BF11" i="15"/>
  <c r="BB23" i="15"/>
  <c r="X15" i="15"/>
  <c r="G20" i="15"/>
  <c r="AR10" i="15"/>
  <c r="O22" i="15"/>
  <c r="AF19" i="15"/>
  <c r="AV12" i="15"/>
  <c r="AT12" i="15"/>
  <c r="R22" i="15"/>
  <c r="BD23" i="15"/>
  <c r="AL10" i="15"/>
  <c r="AF20" i="15"/>
  <c r="AP18" i="15"/>
  <c r="T25" i="15"/>
  <c r="X23" i="15"/>
  <c r="AZ11" i="15"/>
  <c r="O20" i="15"/>
  <c r="AP23" i="15"/>
  <c r="BJ27" i="15"/>
  <c r="Z23" i="15"/>
  <c r="BD18" i="15"/>
  <c r="V24" i="15"/>
  <c r="G24" i="15"/>
  <c r="AL13" i="15"/>
  <c r="T24" i="15"/>
  <c r="R19" i="15"/>
  <c r="AR15" i="15"/>
  <c r="AF23" i="15"/>
  <c r="BB9" i="15"/>
  <c r="X16" i="15"/>
  <c r="AV18" i="15"/>
  <c r="AT15" i="15"/>
  <c r="X27" i="15"/>
  <c r="AN18" i="15"/>
  <c r="AH25" i="15"/>
  <c r="X19" i="15"/>
  <c r="AD24" i="15"/>
  <c r="BH16" i="15"/>
  <c r="T28" i="15"/>
  <c r="BJ10" i="15"/>
  <c r="AX12" i="15"/>
  <c r="X20" i="15"/>
  <c r="BH15" i="15"/>
  <c r="BB24" i="15"/>
  <c r="T23" i="15"/>
  <c r="P16" i="15"/>
  <c r="AR13" i="15"/>
  <c r="E12" i="15"/>
  <c r="Z21" i="15"/>
  <c r="R12" i="15"/>
  <c r="X26" i="15"/>
  <c r="BF13" i="15"/>
  <c r="Z12" i="15"/>
  <c r="BD20" i="15"/>
  <c r="AB16" i="15"/>
  <c r="G25" i="15"/>
  <c r="AJ22" i="15"/>
  <c r="C13" i="15"/>
  <c r="E15" i="15"/>
  <c r="AH19" i="15"/>
  <c r="BJ26" i="15"/>
  <c r="AJ12" i="15"/>
  <c r="AX22" i="15"/>
  <c r="BH12" i="15"/>
  <c r="BF12" i="15"/>
  <c r="P19" i="15"/>
  <c r="AV16" i="15"/>
  <c r="O21" i="15"/>
  <c r="AX9" i="15"/>
  <c r="BB13" i="15"/>
  <c r="T18" i="15"/>
  <c r="Z26" i="15"/>
  <c r="AV24" i="15"/>
  <c r="BH17" i="15"/>
  <c r="BD10" i="15"/>
  <c r="O14" i="15"/>
  <c r="BJ23" i="15"/>
  <c r="R26" i="15"/>
  <c r="P25" i="15"/>
  <c r="AF18" i="15"/>
  <c r="BD17" i="15"/>
  <c r="AD12" i="15"/>
  <c r="AX25" i="15"/>
  <c r="BJ22" i="15"/>
  <c r="AX26" i="15"/>
  <c r="AR25" i="15"/>
  <c r="AF21" i="15"/>
  <c r="T21" i="15"/>
  <c r="O27" i="15"/>
  <c r="R20" i="15"/>
  <c r="BJ15" i="15"/>
  <c r="X10" i="15"/>
  <c r="AP20" i="15"/>
  <c r="AZ29" i="15"/>
  <c r="AH26" i="15"/>
  <c r="P27" i="15"/>
  <c r="AT27" i="15"/>
  <c r="BJ25" i="15"/>
  <c r="C25" i="15"/>
  <c r="AZ27" i="15"/>
  <c r="AN19" i="15"/>
  <c r="AT20" i="15"/>
  <c r="AN15" i="15"/>
  <c r="AB12" i="15"/>
  <c r="AZ9" i="15"/>
  <c r="AB15" i="15"/>
  <c r="AB13" i="15"/>
  <c r="AN9" i="15"/>
  <c r="AZ26" i="15"/>
  <c r="P18" i="15"/>
  <c r="P24" i="15"/>
  <c r="P12" i="15"/>
  <c r="AN20" i="15"/>
  <c r="C15" i="15"/>
  <c r="AB22" i="15"/>
  <c r="AN26" i="15"/>
  <c r="C10" i="15"/>
  <c r="AH28" i="15"/>
  <c r="BF25" i="15"/>
  <c r="C12" i="15"/>
  <c r="BF22" i="15"/>
  <c r="AZ13" i="15"/>
  <c r="AZ28" i="15"/>
  <c r="P26" i="15"/>
  <c r="P17" i="15"/>
  <c r="AT26" i="15"/>
  <c r="AB10" i="15"/>
  <c r="AH9" i="15"/>
  <c r="AH16" i="15"/>
  <c r="BF15" i="15"/>
  <c r="BF9" i="15"/>
  <c r="C23" i="15"/>
  <c r="AH17" i="15"/>
  <c r="BF28" i="15"/>
  <c r="V17" i="15"/>
  <c r="V10" i="15"/>
  <c r="BF14" i="15"/>
  <c r="P15" i="15"/>
  <c r="AT21" i="15"/>
  <c r="V20" i="15"/>
  <c r="AZ24" i="15"/>
  <c r="AN21" i="15"/>
  <c r="AH22" i="15"/>
  <c r="AH23" i="15"/>
  <c r="C9" i="15"/>
  <c r="AB21" i="15"/>
  <c r="BF24" i="15"/>
  <c r="C18" i="15"/>
  <c r="AZ18" i="15"/>
  <c r="AH18" i="15"/>
  <c r="P13" i="15"/>
  <c r="AT23" i="15"/>
  <c r="AT22" i="15"/>
  <c r="AB28" i="15"/>
  <c r="P22" i="15"/>
  <c r="V9" i="15"/>
  <c r="C28" i="15"/>
  <c r="AH20" i="15"/>
  <c r="AZ19" i="15"/>
  <c r="V26" i="15"/>
  <c r="AN13" i="15"/>
  <c r="AZ12" i="15"/>
  <c r="AB9" i="15"/>
  <c r="P29" i="15"/>
  <c r="P20" i="15"/>
  <c r="P14" i="15"/>
  <c r="BF23" i="15"/>
  <c r="AT10" i="15"/>
  <c r="BF26" i="15"/>
  <c r="C17" i="15"/>
  <c r="AH13" i="15"/>
  <c r="C19" i="15"/>
  <c r="AN29" i="15"/>
  <c r="V29" i="15"/>
  <c r="BF29" i="15"/>
  <c r="C27" i="15"/>
  <c r="AT17" i="15"/>
  <c r="AN28" i="15"/>
  <c r="AN22" i="15"/>
  <c r="V21" i="15"/>
  <c r="V12" i="15"/>
  <c r="AB19" i="15"/>
  <c r="AN24" i="15"/>
  <c r="AH15" i="15"/>
  <c r="C16" i="15"/>
  <c r="AZ20" i="15"/>
  <c r="P28" i="15"/>
  <c r="AZ22" i="15"/>
  <c r="AN17" i="15"/>
  <c r="V13" i="15"/>
  <c r="AT14" i="15"/>
  <c r="AZ25" i="15"/>
  <c r="AH21" i="15"/>
  <c r="AB25" i="15"/>
  <c r="BF18" i="15"/>
  <c r="V14" i="15"/>
  <c r="AN16" i="15"/>
  <c r="V25" i="15"/>
  <c r="AT28" i="15"/>
  <c r="AN10" i="15"/>
  <c r="AZ15" i="15"/>
  <c r="AB14" i="15"/>
  <c r="BF10" i="15"/>
  <c r="AN14" i="15"/>
  <c r="AZ23" i="15"/>
  <c r="V15" i="15"/>
  <c r="V23" i="15"/>
  <c r="AN23" i="15"/>
  <c r="V16" i="15"/>
  <c r="AT18" i="15"/>
  <c r="V27" i="15"/>
  <c r="V19" i="15"/>
  <c r="AB24" i="15"/>
  <c r="BF16" i="15"/>
  <c r="AH12" i="15"/>
  <c r="AT16" i="15"/>
  <c r="AT24" i="15"/>
  <c r="BF17" i="15"/>
  <c r="BG17" i="15" l="1"/>
  <c r="AU24" i="15"/>
  <c r="AU16" i="15"/>
  <c r="AI12" i="15"/>
  <c r="BG16" i="15"/>
  <c r="AC24" i="15"/>
  <c r="W19" i="15"/>
  <c r="W27" i="15"/>
  <c r="AU18" i="15"/>
  <c r="W16" i="15"/>
  <c r="AO23" i="15"/>
  <c r="W23" i="15"/>
  <c r="W15" i="15"/>
  <c r="BA23" i="15"/>
  <c r="AO14" i="15"/>
  <c r="BG10" i="15"/>
  <c r="AC14" i="15"/>
  <c r="BA15" i="15"/>
  <c r="AO10" i="15"/>
  <c r="AU28" i="15"/>
  <c r="W25" i="15"/>
  <c r="AO16" i="15"/>
  <c r="W14" i="15"/>
  <c r="BG18" i="15"/>
  <c r="AC25" i="15"/>
  <c r="AI21" i="15"/>
  <c r="BA25" i="15"/>
  <c r="AU14" i="15"/>
  <c r="W13" i="15"/>
  <c r="AO17" i="15"/>
  <c r="BA22" i="15"/>
  <c r="Q28" i="15"/>
  <c r="BL28" i="15"/>
  <c r="BM28" i="15" s="1"/>
  <c r="BA20" i="15"/>
  <c r="I16" i="15"/>
  <c r="J16" i="15" s="1"/>
  <c r="D16" i="15"/>
  <c r="AI15" i="15"/>
  <c r="AO24" i="15"/>
  <c r="AC19" i="15"/>
  <c r="W12" i="15"/>
  <c r="W21" i="15"/>
  <c r="AO22" i="15"/>
  <c r="AO28" i="15"/>
  <c r="AU17" i="15"/>
  <c r="I27" i="15"/>
  <c r="J27" i="15" s="1"/>
  <c r="D27" i="15"/>
  <c r="I19" i="15"/>
  <c r="J19" i="15" s="1"/>
  <c r="D19" i="15"/>
  <c r="AI13" i="15"/>
  <c r="I17" i="15"/>
  <c r="J17" i="15" s="1"/>
  <c r="D17" i="15"/>
  <c r="BG26" i="15"/>
  <c r="AU10" i="15"/>
  <c r="BG23" i="15"/>
  <c r="Q14" i="15"/>
  <c r="BL14" i="15"/>
  <c r="BM14" i="15" s="1"/>
  <c r="BL20" i="15"/>
  <c r="BM20" i="15" s="1"/>
  <c r="Q20" i="15"/>
  <c r="BL29" i="15"/>
  <c r="AC9" i="15"/>
  <c r="AC8" i="15" s="1"/>
  <c r="AB8" i="15"/>
  <c r="BA12" i="15"/>
  <c r="AO13" i="15"/>
  <c r="W26" i="15"/>
  <c r="BA19" i="15"/>
  <c r="AI20" i="15"/>
  <c r="D28" i="15"/>
  <c r="I28" i="15"/>
  <c r="J28" i="15" s="1"/>
  <c r="W9" i="15"/>
  <c r="W8" i="15" s="1"/>
  <c r="V8" i="15"/>
  <c r="Q22" i="15"/>
  <c r="BL22" i="15"/>
  <c r="BM22" i="15" s="1"/>
  <c r="AC28" i="15"/>
  <c r="AU22" i="15"/>
  <c r="AU23" i="15"/>
  <c r="Q13" i="15"/>
  <c r="BL13" i="15"/>
  <c r="BM13" i="15" s="1"/>
  <c r="AI18" i="15"/>
  <c r="BA18" i="15"/>
  <c r="D18" i="15"/>
  <c r="I18" i="15"/>
  <c r="J18" i="15" s="1"/>
  <c r="BG24" i="15"/>
  <c r="AC21" i="15"/>
  <c r="C8" i="15"/>
  <c r="D9" i="15"/>
  <c r="D8" i="15" s="1"/>
  <c r="I9" i="15"/>
  <c r="AI23" i="15"/>
  <c r="AI22" i="15"/>
  <c r="AO21" i="15"/>
  <c r="BA24" i="15"/>
  <c r="W20" i="15"/>
  <c r="AU21" i="15"/>
  <c r="BL15" i="15"/>
  <c r="BM15" i="15" s="1"/>
  <c r="Q15" i="15"/>
  <c r="BG14" i="15"/>
  <c r="W10" i="15"/>
  <c r="W17" i="15"/>
  <c r="BG28" i="15"/>
  <c r="AI17" i="15"/>
  <c r="D23" i="15"/>
  <c r="I23" i="15"/>
  <c r="J23" i="15" s="1"/>
  <c r="BF8" i="15"/>
  <c r="BG9" i="15"/>
  <c r="BG8" i="15" s="1"/>
  <c r="BG15" i="15"/>
  <c r="AI16" i="15"/>
  <c r="AI9" i="15"/>
  <c r="AI8" i="15" s="1"/>
  <c r="AH8" i="15"/>
  <c r="AC10" i="15"/>
  <c r="AU26" i="15"/>
  <c r="BL17" i="15"/>
  <c r="BM17" i="15" s="1"/>
  <c r="Q17" i="15"/>
  <c r="Q26" i="15"/>
  <c r="BL26" i="15"/>
  <c r="BM26" i="15" s="1"/>
  <c r="BA28" i="15"/>
  <c r="BA13" i="15"/>
  <c r="BG22" i="15"/>
  <c r="I12" i="15"/>
  <c r="J12" i="15" s="1"/>
  <c r="D12" i="15"/>
  <c r="BG25" i="15"/>
  <c r="AI28" i="15"/>
  <c r="D10" i="15"/>
  <c r="I10" i="15"/>
  <c r="J10" i="15" s="1"/>
  <c r="AO26" i="15"/>
  <c r="AC22" i="15"/>
  <c r="D15" i="15"/>
  <c r="I15" i="15"/>
  <c r="J15" i="15" s="1"/>
  <c r="AO20" i="15"/>
  <c r="Q12" i="15"/>
  <c r="BL12" i="15"/>
  <c r="BM12" i="15" s="1"/>
  <c r="Q24" i="15"/>
  <c r="BL24" i="15"/>
  <c r="BM24" i="15" s="1"/>
  <c r="BL18" i="15"/>
  <c r="BM18" i="15" s="1"/>
  <c r="Q18" i="15"/>
  <c r="BA26" i="15"/>
  <c r="AN8" i="15"/>
  <c r="AO9" i="15"/>
  <c r="AO8" i="15" s="1"/>
  <c r="AC13" i="15"/>
  <c r="AC15" i="15"/>
  <c r="AZ8" i="15"/>
  <c r="BA9" i="15"/>
  <c r="BA8" i="15" s="1"/>
  <c r="AC12" i="15"/>
  <c r="AO15" i="15"/>
  <c r="AU20" i="15"/>
  <c r="AO19" i="15"/>
  <c r="BA27" i="15"/>
  <c r="I25" i="15"/>
  <c r="J25" i="15" s="1"/>
  <c r="D25" i="15"/>
  <c r="BK25" i="15"/>
  <c r="AU27" i="15"/>
  <c r="Q27" i="15"/>
  <c r="BL27" i="15"/>
  <c r="BM27" i="15" s="1"/>
  <c r="AI26" i="15"/>
  <c r="AQ20" i="15"/>
  <c r="Y10" i="15"/>
  <c r="BK15" i="15"/>
  <c r="S20" i="15"/>
  <c r="BN20" i="15"/>
  <c r="BO20" i="15" s="1"/>
  <c r="BP21" i="15"/>
  <c r="BQ21" i="15" s="1"/>
  <c r="U21" i="15"/>
  <c r="AG21" i="15"/>
  <c r="AS25" i="15"/>
  <c r="AY26" i="15"/>
  <c r="BK22" i="15"/>
  <c r="AY25" i="15"/>
  <c r="AE12" i="15"/>
  <c r="BE17" i="15"/>
  <c r="AG18" i="15"/>
  <c r="Q25" i="15"/>
  <c r="BL25" i="15"/>
  <c r="BM25" i="15" s="1"/>
  <c r="BN26" i="15"/>
  <c r="BO26" i="15" s="1"/>
  <c r="S26" i="15"/>
  <c r="BK23" i="15"/>
  <c r="BE10" i="15"/>
  <c r="BI17" i="15"/>
  <c r="AW24" i="15"/>
  <c r="AA26" i="15"/>
  <c r="BP18" i="15"/>
  <c r="BQ18" i="15" s="1"/>
  <c r="U18" i="15"/>
  <c r="BC13" i="15"/>
  <c r="AY9" i="15"/>
  <c r="AY8" i="15" s="1"/>
  <c r="AX8" i="15"/>
  <c r="AW16" i="15"/>
  <c r="Q19" i="15"/>
  <c r="BL19" i="15"/>
  <c r="BM19" i="15" s="1"/>
  <c r="BG12" i="15"/>
  <c r="BI12" i="15"/>
  <c r="AY22" i="15"/>
  <c r="AK12" i="15"/>
  <c r="BK26" i="15"/>
  <c r="AI19" i="15"/>
  <c r="K15" i="15"/>
  <c r="L15" i="15" s="1"/>
  <c r="F15" i="15"/>
  <c r="D13" i="15"/>
  <c r="I13" i="15"/>
  <c r="J13" i="15" s="1"/>
  <c r="AK22" i="15"/>
  <c r="H25" i="15"/>
  <c r="M25" i="15"/>
  <c r="N25" i="15" s="1"/>
  <c r="AC16" i="15"/>
  <c r="BE20" i="15"/>
  <c r="AA12" i="15"/>
  <c r="BG13" i="15"/>
  <c r="Y26" i="15"/>
  <c r="BN12" i="15"/>
  <c r="BO12" i="15" s="1"/>
  <c r="S12" i="15"/>
  <c r="AA21" i="15"/>
  <c r="F12" i="15"/>
  <c r="K12" i="15"/>
  <c r="L12" i="15" s="1"/>
  <c r="AS13" i="15"/>
  <c r="BL16" i="15"/>
  <c r="BM16" i="15" s="1"/>
  <c r="Q16" i="15"/>
  <c r="U23" i="15"/>
  <c r="BP23" i="15"/>
  <c r="BQ23" i="15" s="1"/>
  <c r="BC24" i="15"/>
  <c r="BI15" i="15"/>
  <c r="Y20" i="15"/>
  <c r="AY12" i="15"/>
  <c r="BK10" i="15"/>
  <c r="BP28" i="15"/>
  <c r="BQ28" i="15" s="1"/>
  <c r="U28" i="15"/>
  <c r="BI16" i="15"/>
  <c r="AE24" i="15"/>
  <c r="Y19" i="15"/>
  <c r="AI25" i="15"/>
  <c r="AO18" i="15"/>
  <c r="Y27" i="15"/>
  <c r="AU15" i="15"/>
  <c r="AW18" i="15"/>
  <c r="Y16" i="15"/>
  <c r="BC9" i="15"/>
  <c r="BC8" i="15" s="1"/>
  <c r="BB8" i="15"/>
  <c r="AG23" i="15"/>
  <c r="AS15" i="15"/>
  <c r="S19" i="15"/>
  <c r="BN19" i="15"/>
  <c r="BO19" i="15" s="1"/>
  <c r="BP24" i="15"/>
  <c r="BQ24" i="15" s="1"/>
  <c r="U24" i="15"/>
  <c r="AM13" i="15"/>
  <c r="M24" i="15"/>
  <c r="N24" i="15" s="1"/>
  <c r="H24" i="15"/>
  <c r="W24" i="15"/>
  <c r="BE18" i="15"/>
  <c r="AA23" i="15"/>
  <c r="BK27" i="15"/>
  <c r="AQ23" i="15"/>
  <c r="BA11" i="15"/>
  <c r="Y23" i="15"/>
  <c r="BP25" i="15"/>
  <c r="BQ25" i="15" s="1"/>
  <c r="U25" i="15"/>
  <c r="AQ18" i="15"/>
  <c r="AG20" i="15"/>
  <c r="AM10" i="15"/>
  <c r="BE23" i="15"/>
  <c r="S22" i="15"/>
  <c r="BN22" i="15"/>
  <c r="BO22" i="15" s="1"/>
  <c r="AU12" i="15"/>
  <c r="AW12" i="15"/>
  <c r="AG19" i="15"/>
  <c r="AS10" i="15"/>
  <c r="M20" i="15"/>
  <c r="N20" i="15" s="1"/>
  <c r="H20" i="15"/>
  <c r="Y15" i="15"/>
  <c r="BC23" i="15"/>
  <c r="BG11" i="15"/>
  <c r="O8" i="15"/>
  <c r="AK25" i="15"/>
  <c r="AK26" i="15"/>
  <c r="AA28" i="15"/>
  <c r="AW27" i="15"/>
  <c r="AQ14" i="15"/>
  <c r="AE16" i="15"/>
  <c r="BI10" i="15"/>
  <c r="AS20" i="15"/>
  <c r="AE14" i="15"/>
  <c r="AG24" i="15"/>
  <c r="AY19" i="15"/>
  <c r="AY20" i="15"/>
  <c r="BC15" i="15"/>
  <c r="AQ10" i="15"/>
  <c r="AW28" i="15"/>
  <c r="AI14" i="15"/>
  <c r="BG20" i="15"/>
  <c r="AI10" i="15"/>
  <c r="D26" i="15"/>
  <c r="I26" i="15"/>
  <c r="J26" i="15" s="1"/>
  <c r="BA14" i="15"/>
  <c r="AK9" i="15"/>
  <c r="AK8" i="15" s="1"/>
  <c r="AJ8" i="15"/>
  <c r="Y25" i="15"/>
  <c r="AU25" i="15"/>
  <c r="H14" i="15"/>
  <c r="M14" i="15"/>
  <c r="N14" i="15" s="1"/>
  <c r="AE21" i="15"/>
  <c r="AW10" i="15"/>
  <c r="AG15" i="15"/>
  <c r="BN17" i="15"/>
  <c r="BO17" i="15" s="1"/>
  <c r="S17" i="15"/>
  <c r="AQ16" i="15"/>
  <c r="H16" i="15"/>
  <c r="M16" i="15"/>
  <c r="N16" i="15" s="1"/>
  <c r="U15" i="15"/>
  <c r="BP15" i="15"/>
  <c r="BQ15" i="15" s="1"/>
  <c r="Y14" i="15"/>
  <c r="M10" i="15"/>
  <c r="N10" i="15" s="1"/>
  <c r="H10" i="15"/>
  <c r="D24" i="15"/>
  <c r="I24" i="15"/>
  <c r="J24" i="15" s="1"/>
  <c r="AE10" i="15"/>
  <c r="AY14" i="15"/>
  <c r="AW25" i="15"/>
  <c r="AA13" i="15"/>
  <c r="AQ15" i="15"/>
  <c r="AY27" i="15"/>
  <c r="AK13" i="15"/>
  <c r="AK23" i="15"/>
  <c r="H27" i="15"/>
  <c r="M27" i="15"/>
  <c r="N27" i="15" s="1"/>
  <c r="BI9" i="15"/>
  <c r="BI8" i="15" s="1"/>
  <c r="BH8" i="15"/>
  <c r="AS27" i="15"/>
  <c r="AI24" i="15"/>
  <c r="BA21" i="15"/>
  <c r="AO12" i="15"/>
  <c r="BL21" i="15"/>
  <c r="BM21" i="15" s="1"/>
  <c r="Q21" i="15"/>
  <c r="BI18" i="15"/>
  <c r="AE25" i="15"/>
  <c r="AY23" i="15"/>
  <c r="U12" i="15"/>
  <c r="BP12" i="15"/>
  <c r="BQ12" i="15" s="1"/>
  <c r="BI28" i="15"/>
  <c r="I20" i="15"/>
  <c r="J20" i="15" s="1"/>
  <c r="D20" i="15"/>
  <c r="BN14" i="15"/>
  <c r="BO14" i="15" s="1"/>
  <c r="S14" i="15"/>
  <c r="BI22" i="15"/>
  <c r="BK12" i="15"/>
  <c r="AC23" i="15"/>
  <c r="Q23" i="15"/>
  <c r="BL23" i="15"/>
  <c r="BM23" i="15" s="1"/>
  <c r="AK21" i="15"/>
  <c r="AC27" i="15"/>
  <c r="BE19" i="15"/>
  <c r="K24" i="15"/>
  <c r="L24" i="15" s="1"/>
  <c r="F24" i="15"/>
  <c r="AG16" i="15"/>
  <c r="BP22" i="15"/>
  <c r="BQ22" i="15" s="1"/>
  <c r="U22" i="15"/>
  <c r="U26" i="15"/>
  <c r="BP26" i="15"/>
  <c r="BQ26" i="15" s="1"/>
  <c r="AS17" i="15"/>
  <c r="AM27" i="15"/>
  <c r="AS22" i="15"/>
  <c r="BE25" i="15"/>
  <c r="BI13" i="15"/>
  <c r="BG19" i="15"/>
  <c r="F10" i="15"/>
  <c r="K10" i="15"/>
  <c r="L10" i="15" s="1"/>
  <c r="BI24" i="15"/>
  <c r="AA25" i="15"/>
  <c r="H15" i="15"/>
  <c r="M15" i="15"/>
  <c r="N15" i="15" s="1"/>
  <c r="BG27" i="15"/>
  <c r="BK14" i="15"/>
  <c r="BE16" i="15"/>
  <c r="AM26" i="15"/>
  <c r="AG9" i="15"/>
  <c r="AG8" i="15" s="1"/>
  <c r="AF8" i="15"/>
  <c r="BN16" i="15"/>
  <c r="BO16" i="15" s="1"/>
  <c r="S16" i="15"/>
  <c r="BC25" i="15"/>
  <c r="AS14" i="15"/>
  <c r="S15" i="15"/>
  <c r="BN15" i="15"/>
  <c r="BO15" i="15" s="1"/>
  <c r="AA27" i="15"/>
  <c r="AK16" i="15"/>
  <c r="BI19" i="15"/>
  <c r="U20" i="15"/>
  <c r="BP20" i="15"/>
  <c r="BQ20" i="15" s="1"/>
  <c r="BI14" i="15"/>
  <c r="AU13" i="15"/>
  <c r="AQ9" i="15"/>
  <c r="AQ8" i="15" s="1"/>
  <c r="AP8" i="15"/>
  <c r="AM18" i="15"/>
  <c r="BK19" i="15"/>
  <c r="AG13" i="15"/>
  <c r="AW14" i="15"/>
  <c r="AA20" i="15"/>
  <c r="G8" i="15"/>
  <c r="M9" i="15"/>
  <c r="H9" i="15"/>
  <c r="H8" i="15" s="1"/>
  <c r="AY24" i="15"/>
  <c r="BC27" i="15"/>
  <c r="Y24" i="15"/>
  <c r="Y13" i="15"/>
  <c r="AS23" i="15"/>
  <c r="BC26" i="15"/>
  <c r="BN25" i="15"/>
  <c r="BO25" i="15" s="1"/>
  <c r="S25" i="15"/>
  <c r="AW15" i="15"/>
  <c r="AG26" i="15"/>
  <c r="AQ17" i="15"/>
  <c r="BK9" i="15"/>
  <c r="BK8" i="15" s="1"/>
  <c r="BJ8" i="15"/>
  <c r="BC22" i="15"/>
  <c r="AM20" i="15"/>
  <c r="S28" i="15"/>
  <c r="BN28" i="15"/>
  <c r="BO28" i="15" s="1"/>
  <c r="AA22" i="15"/>
  <c r="AC17" i="15"/>
  <c r="D21" i="15"/>
  <c r="I21" i="15"/>
  <c r="J21" i="15" s="1"/>
  <c r="AO25" i="15"/>
  <c r="Q9" i="15"/>
  <c r="Q8" i="15" s="1"/>
  <c r="BL9" i="15"/>
  <c r="P8" i="15"/>
  <c r="AT8" i="15"/>
  <c r="AU9" i="15"/>
  <c r="AU8" i="15" s="1"/>
  <c r="W22" i="15"/>
  <c r="AU19" i="15"/>
  <c r="D14" i="15"/>
  <c r="I14" i="15"/>
  <c r="J14" i="15" s="1"/>
  <c r="BA10" i="15"/>
  <c r="U19" i="15"/>
  <c r="BP19" i="15"/>
  <c r="BQ19" i="15" s="1"/>
  <c r="AE28" i="15"/>
  <c r="F19" i="15"/>
  <c r="K19" i="15"/>
  <c r="L19" i="15" s="1"/>
  <c r="AM15" i="15"/>
  <c r="BE24" i="15"/>
  <c r="H26" i="15"/>
  <c r="M26" i="15"/>
  <c r="N26" i="15" s="1"/>
  <c r="AM17" i="15"/>
  <c r="AK17" i="15"/>
  <c r="AY16" i="15"/>
  <c r="AY15" i="15"/>
  <c r="AM12" i="15"/>
  <c r="BI23" i="15"/>
  <c r="BN29" i="15"/>
  <c r="S24" i="15"/>
  <c r="BN24" i="15"/>
  <c r="BO24" i="15" s="1"/>
  <c r="AS21" i="15"/>
  <c r="AY28" i="15"/>
  <c r="R8" i="15"/>
  <c r="BN9" i="15"/>
  <c r="S9" i="15"/>
  <c r="S8" i="15" s="1"/>
  <c r="AG10" i="15"/>
  <c r="K9" i="15"/>
  <c r="E8" i="15"/>
  <c r="F9" i="15"/>
  <c r="F8" i="15" s="1"/>
  <c r="AC11" i="15"/>
  <c r="BK20" i="15"/>
  <c r="AG28" i="15"/>
  <c r="Z8" i="15"/>
  <c r="AA9" i="15"/>
  <c r="AA8" i="15" s="1"/>
  <c r="BK16" i="15"/>
  <c r="AS24" i="15"/>
  <c r="AQ13" i="15"/>
  <c r="BG21" i="15"/>
  <c r="S13" i="15"/>
  <c r="BN13" i="15"/>
  <c r="BO13" i="15" s="1"/>
  <c r="AG17" i="15"/>
  <c r="AE15" i="15"/>
  <c r="BE14" i="15"/>
  <c r="BC20" i="15"/>
  <c r="AY10" i="15"/>
  <c r="BK21" i="15"/>
  <c r="F16" i="15"/>
  <c r="K16" i="15"/>
  <c r="L16" i="15" s="1"/>
  <c r="AG12" i="15"/>
  <c r="AK15" i="15"/>
  <c r="AE13" i="15"/>
  <c r="S23" i="15"/>
  <c r="BN23" i="15"/>
  <c r="BO23" i="15" s="1"/>
  <c r="AQ21" i="15"/>
  <c r="AW23" i="15"/>
  <c r="AK14" i="15"/>
  <c r="K17" i="15"/>
  <c r="L17" i="15" s="1"/>
  <c r="F17" i="15"/>
  <c r="AQ24" i="15"/>
  <c r="AQ12" i="15"/>
  <c r="BK24" i="15"/>
  <c r="AE23" i="15"/>
  <c r="BI20" i="15"/>
  <c r="M18" i="15"/>
  <c r="N18" i="15" s="1"/>
  <c r="H18" i="15"/>
  <c r="AM25" i="15"/>
  <c r="AK10" i="15"/>
  <c r="M29" i="15"/>
  <c r="AW21" i="15"/>
  <c r="W28" i="15"/>
  <c r="BE28" i="15"/>
  <c r="AO27" i="15"/>
  <c r="BI21" i="15"/>
  <c r="Y22" i="15"/>
  <c r="BE12" i="15"/>
  <c r="BK13" i="15"/>
  <c r="AY18" i="15"/>
  <c r="AE19" i="15"/>
  <c r="S18" i="15"/>
  <c r="BN18" i="15"/>
  <c r="BO18" i="15" s="1"/>
  <c r="AS26" i="15"/>
  <c r="AA14" i="15"/>
  <c r="H13" i="15"/>
  <c r="M13" i="15"/>
  <c r="N13" i="15" s="1"/>
  <c r="W18" i="15"/>
  <c r="BP27" i="15"/>
  <c r="BQ27" i="15" s="1"/>
  <c r="U27" i="15"/>
  <c r="X8" i="15"/>
  <c r="Y9" i="15"/>
  <c r="Y8" i="15" s="1"/>
  <c r="Y18" i="15"/>
  <c r="Q10" i="15"/>
  <c r="BL10" i="15"/>
  <c r="BM10" i="15" s="1"/>
  <c r="AM21" i="15"/>
  <c r="AQ26" i="15"/>
  <c r="AY21" i="15"/>
  <c r="AM28" i="15"/>
  <c r="AG22" i="15"/>
  <c r="H17" i="15"/>
  <c r="M17" i="15"/>
  <c r="N17" i="15" s="1"/>
  <c r="M12" i="15"/>
  <c r="N12" i="15" s="1"/>
  <c r="H12" i="15"/>
  <c r="AY13" i="15"/>
  <c r="Y12" i="15"/>
  <c r="BC14" i="15"/>
  <c r="AA19" i="15"/>
  <c r="BP29" i="15"/>
  <c r="AW22" i="15"/>
  <c r="AY17" i="15"/>
  <c r="BE22" i="15"/>
  <c r="AA24" i="15"/>
  <c r="AL8" i="15"/>
  <c r="AM9" i="15"/>
  <c r="AM8" i="15" s="1"/>
  <c r="Y21" i="15"/>
  <c r="BN10" i="15"/>
  <c r="BO10" i="15" s="1"/>
  <c r="S10" i="15"/>
  <c r="AG25" i="15"/>
  <c r="AQ22" i="15"/>
  <c r="AQ28" i="15"/>
  <c r="K14" i="15"/>
  <c r="L14" i="15" s="1"/>
  <c r="F14" i="15"/>
  <c r="AE27" i="15"/>
  <c r="AW17" i="15"/>
  <c r="K27" i="15"/>
  <c r="L27" i="15" s="1"/>
  <c r="F27" i="15"/>
  <c r="H19" i="15"/>
  <c r="M19" i="15"/>
  <c r="N19" i="15" s="1"/>
  <c r="AC26" i="15"/>
  <c r="AC18" i="15"/>
  <c r="AI27" i="15"/>
  <c r="BA17" i="15"/>
  <c r="BA16" i="15"/>
  <c r="I22" i="15"/>
  <c r="J22" i="15" s="1"/>
  <c r="D22" i="15"/>
  <c r="AW26" i="15"/>
  <c r="AR8" i="15"/>
  <c r="AS9" i="15"/>
  <c r="AS8" i="15" s="1"/>
  <c r="BD8" i="15"/>
  <c r="BE9" i="15"/>
  <c r="BE8" i="15" s="1"/>
  <c r="AS28" i="15"/>
  <c r="AQ19" i="15"/>
  <c r="AE18" i="15"/>
  <c r="AQ25" i="15"/>
  <c r="M23" i="15"/>
  <c r="N23" i="15" s="1"/>
  <c r="H23" i="15"/>
  <c r="AE26" i="15"/>
  <c r="AE17" i="15"/>
  <c r="U16" i="15"/>
  <c r="BP16" i="15"/>
  <c r="BQ16" i="15" s="1"/>
  <c r="K23" i="15"/>
  <c r="L23" i="15" s="1"/>
  <c r="F23" i="15"/>
  <c r="AA17" i="15"/>
  <c r="K21" i="15"/>
  <c r="L21" i="15" s="1"/>
  <c r="F21" i="15"/>
  <c r="AK18" i="15"/>
  <c r="AD8" i="15"/>
  <c r="AE9" i="15"/>
  <c r="AE8" i="15" s="1"/>
  <c r="BC28" i="15"/>
  <c r="BK17" i="15"/>
  <c r="AC20" i="15"/>
  <c r="BC12" i="15"/>
  <c r="AA18" i="15"/>
  <c r="BK18" i="15"/>
  <c r="AE20" i="15"/>
  <c r="AG27" i="15"/>
  <c r="AE22" i="15"/>
  <c r="AW20" i="15"/>
  <c r="AK27" i="15"/>
  <c r="AM14" i="15"/>
  <c r="AA10" i="15"/>
  <c r="BC16" i="15"/>
  <c r="K26" i="15"/>
  <c r="L26" i="15" s="1"/>
  <c r="F26" i="15"/>
  <c r="BC18" i="15"/>
  <c r="BC17" i="15"/>
  <c r="AS19" i="15"/>
  <c r="BP17" i="15"/>
  <c r="BQ17" i="15" s="1"/>
  <c r="U17" i="15"/>
  <c r="BE26" i="15"/>
  <c r="AS16" i="15"/>
  <c r="AK24" i="15"/>
  <c r="AK19" i="15"/>
  <c r="BC19" i="15"/>
  <c r="BI25" i="15"/>
  <c r="AK20" i="15"/>
  <c r="AK28" i="15"/>
  <c r="K18" i="15"/>
  <c r="L18" i="15" s="1"/>
  <c r="F18" i="15"/>
  <c r="K28" i="15"/>
  <c r="L28" i="15" s="1"/>
  <c r="F28" i="15"/>
  <c r="K22" i="15"/>
  <c r="L22" i="15" s="1"/>
  <c r="F22" i="15"/>
  <c r="I29" i="15"/>
  <c r="Y28" i="15"/>
  <c r="M21" i="15"/>
  <c r="N21" i="15" s="1"/>
  <c r="H21" i="15"/>
  <c r="BK28" i="15"/>
  <c r="BN21" i="15"/>
  <c r="BO21" i="15" s="1"/>
  <c r="S21" i="15"/>
  <c r="AS18" i="15"/>
  <c r="BC21" i="15"/>
  <c r="AW19" i="15"/>
  <c r="M28" i="15"/>
  <c r="N28" i="15" s="1"/>
  <c r="H28" i="15"/>
  <c r="AA16" i="15"/>
  <c r="U14" i="15"/>
  <c r="BP14" i="15"/>
  <c r="BQ14" i="15" s="1"/>
  <c r="BI26" i="15"/>
  <c r="H22" i="15"/>
  <c r="M22" i="15"/>
  <c r="N22" i="15" s="1"/>
  <c r="AW9" i="15"/>
  <c r="AW8" i="15" s="1"/>
  <c r="AV8" i="15"/>
  <c r="AM24" i="15"/>
  <c r="Y17" i="15"/>
  <c r="K25" i="15"/>
  <c r="L25" i="15" s="1"/>
  <c r="F25" i="15"/>
  <c r="BC10" i="15"/>
  <c r="BI27" i="15"/>
  <c r="AA15" i="15"/>
  <c r="BE21" i="15"/>
  <c r="K13" i="15"/>
  <c r="L13" i="15" s="1"/>
  <c r="F13" i="15"/>
  <c r="BP13" i="15"/>
  <c r="BQ13" i="15" s="1"/>
  <c r="U13" i="15"/>
  <c r="AM23" i="15"/>
  <c r="AQ27" i="15"/>
  <c r="BE15" i="15"/>
  <c r="AW13" i="15"/>
  <c r="AM22" i="15"/>
  <c r="AM16" i="15"/>
  <c r="K29" i="15"/>
  <c r="AM19" i="15"/>
  <c r="BE27" i="15"/>
  <c r="BP10" i="15"/>
  <c r="BQ10" i="15" s="1"/>
  <c r="U10" i="15"/>
  <c r="AS12" i="15"/>
  <c r="BE13" i="15"/>
  <c r="BP9" i="15"/>
  <c r="U9" i="15"/>
  <c r="U8" i="15" s="1"/>
  <c r="T8" i="15"/>
  <c r="S27" i="15"/>
  <c r="BN27" i="15"/>
  <c r="BO27" i="15" s="1"/>
  <c r="K20" i="15"/>
  <c r="L20" i="15" s="1"/>
  <c r="F20" i="15"/>
  <c r="AG14" i="15"/>
  <c r="AH29" i="15"/>
  <c r="L9" i="15" l="1"/>
  <c r="L8" i="15" s="1"/>
  <c r="K8" i="15"/>
  <c r="BM9" i="15"/>
  <c r="BM8" i="15" s="1"/>
  <c r="BL8" i="15"/>
  <c r="BQ9" i="15"/>
  <c r="BQ8" i="15" s="1"/>
  <c r="BP8" i="15"/>
  <c r="M8" i="15"/>
  <c r="N9" i="15"/>
  <c r="N8" i="15" s="1"/>
  <c r="J9" i="15"/>
  <c r="J8" i="15" s="1"/>
  <c r="I8" i="15"/>
  <c r="BO9" i="15"/>
  <c r="BO8" i="15" s="1"/>
  <c r="BN8" i="15"/>
</calcChain>
</file>

<file path=xl/sharedStrings.xml><?xml version="1.0" encoding="utf-8"?>
<sst xmlns="http://schemas.openxmlformats.org/spreadsheetml/2006/main" count="580" uniqueCount="171">
  <si>
    <t>Індекс посади</t>
  </si>
  <si>
    <t>Звання</t>
  </si>
  <si>
    <t>ПРІЗВИЩЕ (за наявності) Ім'я По батькові (за наявності)</t>
  </si>
  <si>
    <t>УПРАВЛІННЯ</t>
  </si>
  <si>
    <t>Підполковник</t>
  </si>
  <si>
    <t>Майор</t>
  </si>
  <si>
    <t>Капітан</t>
  </si>
  <si>
    <t>Старший солдат</t>
  </si>
  <si>
    <t>Солдат</t>
  </si>
  <si>
    <t>Старший сержант</t>
  </si>
  <si>
    <t>Сержант</t>
  </si>
  <si>
    <t>Додаткова інформація</t>
  </si>
  <si>
    <t>Дата і номер наказу на прибуття</t>
  </si>
  <si>
    <t>Дата вибуття</t>
  </si>
  <si>
    <t>Дата і номер наказу на вибуття</t>
  </si>
  <si>
    <t>5. Тимчасово відсутній особовий склад</t>
  </si>
  <si>
    <t>Місце вибуття</t>
  </si>
  <si>
    <t>Фактична дата прибуття</t>
  </si>
  <si>
    <t>Лікування</t>
  </si>
  <si>
    <t>Відпустка</t>
  </si>
  <si>
    <t>Підрозділи</t>
  </si>
  <si>
    <t>По списку</t>
  </si>
  <si>
    <t>В наявності</t>
  </si>
  <si>
    <t>На продовольчому забезпеченні</t>
  </si>
  <si>
    <t>Відсутні</t>
  </si>
  <si>
    <t>Причини відсутності</t>
  </si>
  <si>
    <t>Відрядження</t>
  </si>
  <si>
    <t>СЗЧ</t>
  </si>
  <si>
    <t>Загиблі</t>
  </si>
  <si>
    <t>Зниклі безвісти</t>
  </si>
  <si>
    <t>Полон</t>
  </si>
  <si>
    <t>Інші</t>
  </si>
  <si>
    <t>Офіцери</t>
  </si>
  <si>
    <t>Сержанти</t>
  </si>
  <si>
    <t>Солдати</t>
  </si>
  <si>
    <t>ВСЬОГО</t>
  </si>
  <si>
    <t>У РОЗПОРЯДЖЕННІ</t>
  </si>
  <si>
    <t>Генерал</t>
  </si>
  <si>
    <t>Головний майстер-сержант</t>
  </si>
  <si>
    <t>Генерал-лейтенант</t>
  </si>
  <si>
    <t>Генерал-майор</t>
  </si>
  <si>
    <t>Майстер-сержант</t>
  </si>
  <si>
    <t>Старший матрос</t>
  </si>
  <si>
    <t>Генерал-лейтенант медичної служби</t>
  </si>
  <si>
    <t>Бригадний генерал</t>
  </si>
  <si>
    <t>Штаб-сержант</t>
  </si>
  <si>
    <t>Матрос</t>
  </si>
  <si>
    <t>Полковник</t>
  </si>
  <si>
    <t>Головний сержант</t>
  </si>
  <si>
    <t>Рекрут</t>
  </si>
  <si>
    <t>Генерал-майор медичної служби</t>
  </si>
  <si>
    <t>Полковник медичної служби</t>
  </si>
  <si>
    <t>---</t>
  </si>
  <si>
    <t>Полковник юстиції</t>
  </si>
  <si>
    <t>Бригадний генерал медичної служби</t>
  </si>
  <si>
    <t>Полковник капеланської служби</t>
  </si>
  <si>
    <t>Молодший сержант</t>
  </si>
  <si>
    <t>Головний майстер-старшина</t>
  </si>
  <si>
    <t>Підполковник медичної служби</t>
  </si>
  <si>
    <t>Старший майстер-старшина</t>
  </si>
  <si>
    <t>Підполковник юстиції</t>
  </si>
  <si>
    <t>Майстер-старшина</t>
  </si>
  <si>
    <t>Підполковник капеланської служби</t>
  </si>
  <si>
    <t>Штаб-старшина</t>
  </si>
  <si>
    <t>Головний корабельний старшина</t>
  </si>
  <si>
    <t>Майор медичної служби</t>
  </si>
  <si>
    <t>Головний старшина</t>
  </si>
  <si>
    <t>Майор юстиції</t>
  </si>
  <si>
    <t>Старшина 1 статті</t>
  </si>
  <si>
    <t>Майор капеланської служби</t>
  </si>
  <si>
    <t>Старшина 2 статті</t>
  </si>
  <si>
    <t>Капітан медичної служби</t>
  </si>
  <si>
    <t>Капітан юстиції</t>
  </si>
  <si>
    <t>Капітан капеланської служби</t>
  </si>
  <si>
    <t>Старший лейтенант</t>
  </si>
  <si>
    <t>Старший лейтенант медичної служби</t>
  </si>
  <si>
    <t>Старший лейтенант юстиції</t>
  </si>
  <si>
    <t>Старший лейтенант капеланської служби</t>
  </si>
  <si>
    <t>Лейтенант</t>
  </si>
  <si>
    <t>Лейтенант медичної служби</t>
  </si>
  <si>
    <t>Лейтенант юстиції</t>
  </si>
  <si>
    <t>Лейтенант капеланської служби</t>
  </si>
  <si>
    <t>Молодший лейтенант</t>
  </si>
  <si>
    <t>Молодший лейтенант медичної служби</t>
  </si>
  <si>
    <t>Молодший лейтенант юстиції</t>
  </si>
  <si>
    <t>Молодший лейтенант капеланської служби</t>
  </si>
  <si>
    <t>Адмірал</t>
  </si>
  <si>
    <t>Віце-адмірал</t>
  </si>
  <si>
    <t>Контр-адмірал</t>
  </si>
  <si>
    <t>Коммодор</t>
  </si>
  <si>
    <t>Капітан 1 рангу</t>
  </si>
  <si>
    <t>Старший майстер-сержант</t>
  </si>
  <si>
    <t>Капітан 2 рангу</t>
  </si>
  <si>
    <t>Капітан 3 рангу</t>
  </si>
  <si>
    <t>Капітан-лейтенант</t>
  </si>
  <si>
    <t>Старший-лейтенант</t>
  </si>
  <si>
    <t>САМОХІДНА АРТИЛЕРІЙСЬКА БАТАРЕЯ</t>
  </si>
  <si>
    <t>МІНОМЕТНА БАТАРЕЯ</t>
  </si>
  <si>
    <t>ЗЕНІТНИЙ РАКЕТНО-АРТИЛЕРІЙСЬКИЙ ВЗВОД</t>
  </si>
  <si>
    <t>ВЗВОД ПЕРЕХОПЛЮВАЧІВ БЕЗПІЛОТНИХ ЛІТАЛЬНИХ АПАРАТІВ</t>
  </si>
  <si>
    <t>1 СТРІЛЕЦЬКИЙ БАТАЛЬЙОН</t>
  </si>
  <si>
    <t>2 СТРІЛЕЦЬКИЙ БАТАЛЬЙОН</t>
  </si>
  <si>
    <t>БАТАЛЬЙОН БЕЗПІЛОТНИХ СИСТЕМ</t>
  </si>
  <si>
    <t>РОЗВІДУВАЛЬНА РОТА</t>
  </si>
  <si>
    <t>ІНЖЕНЕРНА РОТА</t>
  </si>
  <si>
    <t>РОТА ЗВ’ЯЗКУ</t>
  </si>
  <si>
    <t>РОТА ЛОГІСТИКИ</t>
  </si>
  <si>
    <t>АВТОМОБІЛЬНА РОТА</t>
  </si>
  <si>
    <t>МЕДИЧНА РОТА</t>
  </si>
  <si>
    <t>ГРУПА КОНТРОЛЮ БОЙОВОГО СТРЕСУ</t>
  </si>
  <si>
    <t>ГРУПА ІНСТРУКТОРІВ</t>
  </si>
  <si>
    <t>ПРИКОМАНДИРОВАНІ</t>
  </si>
  <si>
    <t>311 ЗАПАСНА РОТА</t>
  </si>
  <si>
    <t>РОЗРАХУНОК ЗА:</t>
  </si>
  <si>
    <t>УПР</t>
  </si>
  <si>
    <t>САБАТР</t>
  </si>
  <si>
    <t>МІНБАТР</t>
  </si>
  <si>
    <t>ЗРАВ</t>
  </si>
  <si>
    <t>ВПБПЛА</t>
  </si>
  <si>
    <t>СБ1</t>
  </si>
  <si>
    <t>СБ2</t>
  </si>
  <si>
    <t>ББПС</t>
  </si>
  <si>
    <t>РР</t>
  </si>
  <si>
    <t>ІР</t>
  </si>
  <si>
    <t>РЗ</t>
  </si>
  <si>
    <t>РЛ</t>
  </si>
  <si>
    <t>АР</t>
  </si>
  <si>
    <t>МР</t>
  </si>
  <si>
    <t>ГКБС</t>
  </si>
  <si>
    <t>ГІ</t>
  </si>
  <si>
    <t>РОЗП</t>
  </si>
  <si>
    <t>ПРИК</t>
  </si>
  <si>
    <t>ЗР</t>
  </si>
  <si>
    <t>ЗАРАХОВАНІ НА КОТЛОВЕ ЗАБЕЗПЕЧЕННЯ</t>
  </si>
  <si>
    <t>ПРОД</t>
  </si>
  <si>
    <t>65</t>
  </si>
  <si>
    <t>66</t>
  </si>
  <si>
    <t>67</t>
  </si>
  <si>
    <t>68</t>
  </si>
  <si>
    <t>69</t>
  </si>
  <si>
    <t>70</t>
  </si>
  <si>
    <t>72</t>
  </si>
  <si>
    <t>73</t>
  </si>
  <si>
    <t>74</t>
  </si>
  <si>
    <t>76</t>
  </si>
  <si>
    <t>71 (А)</t>
  </si>
  <si>
    <t>71 (Б)</t>
  </si>
  <si>
    <t>75 (А)</t>
  </si>
  <si>
    <t>75 (Б)</t>
  </si>
  <si>
    <t>ВИВЕСТИ РОЗРАХУНОК ЗА ДОБУ (ЗАЛИШИТИ ПОРОЖНІМ ДЛЯ ПОТОЧНОЇ ДОБИ):</t>
  </si>
  <si>
    <t>СТРІЛЕЦЬКА СПЕЦІАЛІЗОВАНА РОТА (ШКВАЛ)</t>
  </si>
  <si>
    <t>ШКВАЛ</t>
  </si>
  <si>
    <t>*ВП*</t>
  </si>
  <si>
    <t>*від*</t>
  </si>
  <si>
    <t>*ЛП*</t>
  </si>
  <si>
    <t>*лік*</t>
  </si>
  <si>
    <t>*вдр*</t>
  </si>
  <si>
    <t>*СЗЧ*</t>
  </si>
  <si>
    <t>*заг*</t>
  </si>
  <si>
    <t>*пом*</t>
  </si>
  <si>
    <t>*ЗБ*</t>
  </si>
  <si>
    <t>*пол*</t>
  </si>
  <si>
    <t>Стовпець1</t>
  </si>
  <si>
    <t>Стовпець2</t>
  </si>
  <si>
    <t>Стовпець3</t>
  </si>
  <si>
    <r>
      <t>Підстава</t>
    </r>
    <r>
      <rPr>
        <b/>
        <sz val="14"/>
        <color theme="0"/>
        <rFont val="Times New Roman"/>
        <family val="1"/>
        <charset val="204"/>
      </rPr>
      <t xml:space="preserve"> вибуття</t>
    </r>
  </si>
  <si>
    <r>
      <t>Строк вибуття</t>
    </r>
    <r>
      <rPr>
        <b/>
        <sz val="14"/>
        <color theme="0"/>
        <rFont val="Times New Roman"/>
        <family val="1"/>
        <charset val="204"/>
      </rPr>
      <t xml:space="preserve">
</t>
    </r>
    <r>
      <rPr>
        <b/>
        <sz val="11"/>
        <color theme="0"/>
        <rFont val="Times New Roman"/>
        <family val="1"/>
        <charset val="204"/>
      </rPr>
      <t>(якщо невідомо - "?")</t>
    </r>
  </si>
  <si>
    <r>
      <t xml:space="preserve">Дата планового повернення
</t>
    </r>
    <r>
      <rPr>
        <b/>
        <sz val="11"/>
        <color theme="0"/>
        <rFont val="Times New Roman"/>
        <family val="1"/>
        <charset val="204"/>
      </rPr>
      <t>(якщо невідомо - "?")</t>
    </r>
  </si>
  <si>
    <t>БОНДАРЕНКО Олександр Юрійович</t>
  </si>
  <si>
    <t>м. Тестоград</t>
  </si>
  <si>
    <t>Щорічна відпустка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</si>
</sst>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m\ yyyy"/>
    <numFmt numFmtId="165" formatCode="m/d/yyyy"/>
  </numFmts>
  <fonts count="47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name val="Times New Roman"/>
      <family val="1"/>
    </font>
    <font>
      <b/>
      <sz val="14"/>
      <name val="Times New Roman"/>
      <family val="1"/>
      <charset val="204"/>
    </font>
    <font>
      <sz val="11"/>
      <name val="Aptos Narrow"/>
      <family val="2"/>
      <charset val="204"/>
      <scheme val="minor"/>
    </font>
    <font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8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</font>
    <font>
      <sz val="11"/>
      <color theme="1"/>
      <name val="Aptos Narrow"/>
      <family val="2"/>
      <charset val="204"/>
      <scheme val="minor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</font>
    <font>
      <sz val="10"/>
      <name val="Arial"/>
      <family val="2"/>
      <charset val="204"/>
    </font>
    <font>
      <sz val="11"/>
      <color theme="0"/>
      <name val="Aptos Narrow"/>
      <family val="2"/>
      <charset val="204"/>
      <scheme val="minor"/>
    </font>
    <font>
      <sz val="14"/>
      <color theme="0"/>
      <name val="Times New Roman"/>
      <family val="1"/>
      <charset val="204"/>
    </font>
    <font>
      <sz val="14"/>
      <color theme="5" tint="0.39997558519241921"/>
      <name val="Times New Roman"/>
      <family val="1"/>
    </font>
    <font>
      <b/>
      <sz val="14"/>
      <color theme="0"/>
      <name val="Times New Roman"/>
      <family val="1"/>
      <charset val="204"/>
    </font>
    <font>
      <sz val="14"/>
      <color rgb="FFADADAD"/>
      <name val="Times New Roman"/>
      <family val="1"/>
      <charset val="204"/>
    </font>
    <font>
      <b/>
      <sz val="14"/>
      <color theme="0"/>
      <name val="Times New Roman"/>
      <family val="1"/>
    </font>
    <font>
      <b/>
      <sz val="11"/>
      <color theme="0"/>
      <name val="Times New Roman"/>
      <family val="1"/>
      <charset val="204"/>
    </font>
    <font>
      <sz val="14"/>
      <color rgb="FF00B050"/>
      <name val="Times New Roman"/>
      <family val="1"/>
    </font>
    <font>
      <sz val="14"/>
      <color theme="0"/>
      <name val="Times New Roman"/>
    </font>
    <font>
      <sz val="14"/>
      <color theme="5" tint="0.39997558519241921"/>
      <name val="Times New Roman"/>
    </font>
    <font>
      <sz val="14"/>
      <color rgb="FFADADAD"/>
      <name val="Times New Roman"/>
    </font>
    <font>
      <sz val="14"/>
      <color rgb="FF00B050"/>
      <name val="Times New Roman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0404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62626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161">
    <xf numFmtId="0" fontId="0" fillId="0" borderId="0"/>
    <xf numFmtId="0" fontId="13" fillId="0" borderId="0"/>
    <xf numFmtId="0" fontId="16" fillId="0" borderId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12" borderId="0" applyNumberFormat="0" applyBorder="0" applyAlignment="0" applyProtection="0"/>
    <xf numFmtId="0" fontId="18" fillId="6" borderId="53" applyNumberFormat="0" applyAlignment="0" applyProtection="0"/>
    <xf numFmtId="0" fontId="19" fillId="13" borderId="54" applyNumberFormat="0" applyAlignment="0" applyProtection="0"/>
    <xf numFmtId="0" fontId="20" fillId="13" borderId="53" applyNumberFormat="0" applyAlignment="0" applyProtection="0"/>
    <xf numFmtId="0" fontId="21" fillId="0" borderId="55" applyNumberFormat="0" applyFill="0" applyAlignment="0" applyProtection="0"/>
    <xf numFmtId="0" fontId="22" fillId="0" borderId="56" applyNumberFormat="0" applyFill="0" applyAlignment="0" applyProtection="0"/>
    <xf numFmtId="0" fontId="23" fillId="0" borderId="57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58" applyNumberFormat="0" applyFill="0" applyAlignment="0" applyProtection="0"/>
    <xf numFmtId="0" fontId="25" fillId="14" borderId="59" applyNumberFormat="0" applyAlignment="0" applyProtection="0"/>
    <xf numFmtId="0" fontId="26" fillId="0" borderId="0" applyNumberFormat="0" applyFill="0" applyBorder="0" applyAlignment="0" applyProtection="0"/>
    <xf numFmtId="0" fontId="27" fillId="15" borderId="0" applyNumberFormat="0" applyBorder="0" applyAlignment="0" applyProtection="0"/>
    <xf numFmtId="0" fontId="28" fillId="4" borderId="0" applyNumberFormat="0" applyBorder="0" applyAlignment="0" applyProtection="0"/>
    <xf numFmtId="0" fontId="29" fillId="0" borderId="0" applyNumberFormat="0" applyFill="0" applyBorder="0" applyAlignment="0" applyProtection="0"/>
    <xf numFmtId="0" fontId="13" fillId="16" borderId="60" applyNumberFormat="0" applyFont="0" applyAlignment="0" applyProtection="0"/>
    <xf numFmtId="0" fontId="30" fillId="0" borderId="61" applyNumberFormat="0" applyFill="0" applyAlignment="0" applyProtection="0"/>
    <xf numFmtId="0" fontId="31" fillId="0" borderId="0" applyNumberFormat="0" applyFill="0" applyBorder="0" applyAlignment="0" applyProtection="0"/>
    <xf numFmtId="0" fontId="32" fillId="5" borderId="0" applyNumberFormat="0" applyBorder="0" applyAlignment="0" applyProtection="0"/>
    <xf numFmtId="0" fontId="16" fillId="0" borderId="0"/>
    <xf numFmtId="0" fontId="13" fillId="0" borderId="0"/>
    <xf numFmtId="0" fontId="16" fillId="0" borderId="0"/>
    <xf numFmtId="0" fontId="13" fillId="0" borderId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12" borderId="0" applyNumberFormat="0" applyBorder="0" applyAlignment="0" applyProtection="0"/>
    <xf numFmtId="0" fontId="18" fillId="6" borderId="53" applyNumberFormat="0" applyAlignment="0" applyProtection="0"/>
    <xf numFmtId="0" fontId="19" fillId="13" borderId="54" applyNumberFormat="0" applyAlignment="0" applyProtection="0"/>
    <xf numFmtId="0" fontId="20" fillId="13" borderId="53" applyNumberFormat="0" applyAlignment="0" applyProtection="0"/>
    <xf numFmtId="0" fontId="21" fillId="0" borderId="55" applyNumberFormat="0" applyFill="0" applyAlignment="0" applyProtection="0"/>
    <xf numFmtId="0" fontId="22" fillId="0" borderId="56" applyNumberFormat="0" applyFill="0" applyAlignment="0" applyProtection="0"/>
    <xf numFmtId="0" fontId="23" fillId="0" borderId="57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58" applyNumberFormat="0" applyFill="0" applyAlignment="0" applyProtection="0"/>
    <xf numFmtId="0" fontId="25" fillId="14" borderId="59" applyNumberFormat="0" applyAlignment="0" applyProtection="0"/>
    <xf numFmtId="0" fontId="26" fillId="0" borderId="0" applyNumberFormat="0" applyFill="0" applyBorder="0" applyAlignment="0" applyProtection="0"/>
    <xf numFmtId="0" fontId="27" fillId="15" borderId="0" applyNumberFormat="0" applyBorder="0" applyAlignment="0" applyProtection="0"/>
    <xf numFmtId="0" fontId="28" fillId="4" borderId="0" applyNumberFormat="0" applyBorder="0" applyAlignment="0" applyProtection="0"/>
    <xf numFmtId="0" fontId="29" fillId="0" borderId="0" applyNumberFormat="0" applyFill="0" applyBorder="0" applyAlignment="0" applyProtection="0"/>
    <xf numFmtId="0" fontId="13" fillId="16" borderId="60" applyNumberFormat="0" applyFont="0" applyAlignment="0" applyProtection="0"/>
    <xf numFmtId="0" fontId="30" fillId="0" borderId="61" applyNumberFormat="0" applyFill="0" applyAlignment="0" applyProtection="0"/>
    <xf numFmtId="0" fontId="31" fillId="0" borderId="0" applyNumberFormat="0" applyFill="0" applyBorder="0" applyAlignment="0" applyProtection="0"/>
    <xf numFmtId="0" fontId="32" fillId="5" borderId="0" applyNumberFormat="0" applyBorder="0" applyAlignment="0" applyProtection="0"/>
    <xf numFmtId="0" fontId="13" fillId="0" borderId="0"/>
    <xf numFmtId="0" fontId="13" fillId="0" borderId="0"/>
    <xf numFmtId="0" fontId="16" fillId="0" borderId="0"/>
    <xf numFmtId="0" fontId="13" fillId="0" borderId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12" borderId="0" applyNumberFormat="0" applyBorder="0" applyAlignment="0" applyProtection="0"/>
    <xf numFmtId="0" fontId="18" fillId="6" borderId="53" applyNumberFormat="0" applyAlignment="0" applyProtection="0"/>
    <xf numFmtId="0" fontId="19" fillId="13" borderId="54" applyNumberFormat="0" applyAlignment="0" applyProtection="0"/>
    <xf numFmtId="0" fontId="20" fillId="13" borderId="53" applyNumberFormat="0" applyAlignment="0" applyProtection="0"/>
    <xf numFmtId="0" fontId="21" fillId="0" borderId="55" applyNumberFormat="0" applyFill="0" applyAlignment="0" applyProtection="0"/>
    <xf numFmtId="0" fontId="22" fillId="0" borderId="56" applyNumberFormat="0" applyFill="0" applyAlignment="0" applyProtection="0"/>
    <xf numFmtId="0" fontId="23" fillId="0" borderId="57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58" applyNumberFormat="0" applyFill="0" applyAlignment="0" applyProtection="0"/>
    <xf numFmtId="0" fontId="25" fillId="14" borderId="59" applyNumberFormat="0" applyAlignment="0" applyProtection="0"/>
    <xf numFmtId="0" fontId="26" fillId="0" borderId="0" applyNumberFormat="0" applyFill="0" applyBorder="0" applyAlignment="0" applyProtection="0"/>
    <xf numFmtId="0" fontId="27" fillId="15" borderId="0" applyNumberFormat="0" applyBorder="0" applyAlignment="0" applyProtection="0"/>
    <xf numFmtId="0" fontId="28" fillId="4" borderId="0" applyNumberFormat="0" applyBorder="0" applyAlignment="0" applyProtection="0"/>
    <xf numFmtId="0" fontId="29" fillId="0" borderId="0" applyNumberFormat="0" applyFill="0" applyBorder="0" applyAlignment="0" applyProtection="0"/>
    <xf numFmtId="0" fontId="13" fillId="16" borderId="60" applyNumberFormat="0" applyFont="0" applyAlignment="0" applyProtection="0"/>
    <xf numFmtId="0" fontId="30" fillId="0" borderId="61" applyNumberFormat="0" applyFill="0" applyAlignment="0" applyProtection="0"/>
    <xf numFmtId="0" fontId="31" fillId="0" borderId="0" applyNumberFormat="0" applyFill="0" applyBorder="0" applyAlignment="0" applyProtection="0"/>
    <xf numFmtId="0" fontId="32" fillId="5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12" borderId="0" applyNumberFormat="0" applyBorder="0" applyAlignment="0" applyProtection="0"/>
    <xf numFmtId="0" fontId="18" fillId="6" borderId="53" applyNumberFormat="0" applyAlignment="0" applyProtection="0"/>
    <xf numFmtId="0" fontId="19" fillId="13" borderId="54" applyNumberFormat="0" applyAlignment="0" applyProtection="0"/>
    <xf numFmtId="0" fontId="20" fillId="13" borderId="53" applyNumberFormat="0" applyAlignment="0" applyProtection="0"/>
    <xf numFmtId="0" fontId="21" fillId="0" borderId="55" applyNumberFormat="0" applyFill="0" applyAlignment="0" applyProtection="0"/>
    <xf numFmtId="0" fontId="22" fillId="0" borderId="56" applyNumberFormat="0" applyFill="0" applyAlignment="0" applyProtection="0"/>
    <xf numFmtId="0" fontId="23" fillId="0" borderId="57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58" applyNumberFormat="0" applyFill="0" applyAlignment="0" applyProtection="0"/>
    <xf numFmtId="0" fontId="25" fillId="14" borderId="59" applyNumberFormat="0" applyAlignment="0" applyProtection="0"/>
    <xf numFmtId="0" fontId="26" fillId="0" borderId="0" applyNumberFormat="0" applyFill="0" applyBorder="0" applyAlignment="0" applyProtection="0"/>
    <xf numFmtId="0" fontId="27" fillId="15" borderId="0" applyNumberFormat="0" applyBorder="0" applyAlignment="0" applyProtection="0"/>
    <xf numFmtId="0" fontId="28" fillId="4" borderId="0" applyNumberFormat="0" applyBorder="0" applyAlignment="0" applyProtection="0"/>
    <xf numFmtId="0" fontId="29" fillId="0" borderId="0" applyNumberFormat="0" applyFill="0" applyBorder="0" applyAlignment="0" applyProtection="0"/>
    <xf numFmtId="0" fontId="13" fillId="16" borderId="60" applyNumberFormat="0" applyFont="0" applyAlignment="0" applyProtection="0"/>
    <xf numFmtId="0" fontId="30" fillId="0" borderId="61" applyNumberFormat="0" applyFill="0" applyAlignment="0" applyProtection="0"/>
    <xf numFmtId="0" fontId="31" fillId="0" borderId="0" applyNumberFormat="0" applyFill="0" applyBorder="0" applyAlignment="0" applyProtection="0"/>
    <xf numFmtId="0" fontId="32" fillId="5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9" fontId="13" fillId="0" borderId="0" applyFont="0" applyFill="0" applyBorder="0" applyAlignment="0" applyProtection="0"/>
    <xf numFmtId="0" fontId="16" fillId="0" borderId="0"/>
    <xf numFmtId="0" fontId="16" fillId="0" borderId="0"/>
    <xf numFmtId="0" fontId="3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3" fillId="0" borderId="0" applyFont="0" applyFill="0" applyBorder="0" applyAlignment="0" applyProtection="0"/>
    <xf numFmtId="0" fontId="16" fillId="0" borderId="0"/>
    <xf numFmtId="0" fontId="16" fillId="0" borderId="0"/>
    <xf numFmtId="0" fontId="34" fillId="0" borderId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12" borderId="0" applyNumberFormat="0" applyBorder="0" applyAlignment="0" applyProtection="0"/>
    <xf numFmtId="0" fontId="18" fillId="6" borderId="53" applyNumberFormat="0" applyAlignment="0" applyProtection="0"/>
    <xf numFmtId="0" fontId="19" fillId="13" borderId="54" applyNumberFormat="0" applyAlignment="0" applyProtection="0"/>
    <xf numFmtId="0" fontId="20" fillId="13" borderId="53" applyNumberFormat="0" applyAlignment="0" applyProtection="0"/>
    <xf numFmtId="0" fontId="24" fillId="0" borderId="58" applyNumberFormat="0" applyFill="0" applyAlignment="0" applyProtection="0"/>
    <xf numFmtId="0" fontId="25" fillId="14" borderId="59" applyNumberFormat="0" applyAlignment="0" applyProtection="0"/>
    <xf numFmtId="0" fontId="26" fillId="0" borderId="0" applyNumberFormat="0" applyFill="0" applyBorder="0" applyAlignment="0" applyProtection="0"/>
    <xf numFmtId="0" fontId="27" fillId="15" borderId="0" applyNumberFormat="0" applyBorder="0" applyAlignment="0" applyProtection="0"/>
    <xf numFmtId="0" fontId="28" fillId="4" borderId="0" applyNumberFormat="0" applyBorder="0" applyAlignment="0" applyProtection="0"/>
    <xf numFmtId="0" fontId="29" fillId="0" borderId="0" applyNumberFormat="0" applyFill="0" applyBorder="0" applyAlignment="0" applyProtection="0"/>
    <xf numFmtId="0" fontId="13" fillId="16" borderId="60" applyNumberFormat="0" applyFont="0" applyAlignment="0" applyProtection="0"/>
    <xf numFmtId="0" fontId="30" fillId="0" borderId="61" applyNumberFormat="0" applyFill="0" applyAlignment="0" applyProtection="0"/>
    <xf numFmtId="0" fontId="31" fillId="0" borderId="0" applyNumberFormat="0" applyFill="0" applyBorder="0" applyAlignment="0" applyProtection="0"/>
    <xf numFmtId="0" fontId="32" fillId="5" borderId="0" applyNumberFormat="0" applyBorder="0" applyAlignment="0" applyProtection="0"/>
    <xf numFmtId="9" fontId="13" fillId="0" borderId="0" applyFont="0" applyFill="0" applyBorder="0" applyAlignment="0" applyProtection="0"/>
    <xf numFmtId="0" fontId="6" fillId="17" borderId="1">
      <alignment horizontal="center" vertical="center" wrapText="1"/>
    </xf>
  </cellStyleXfs>
  <cellXfs count="130">
    <xf numFmtId="0" fontId="0" fillId="0" borderId="0" xfId="0"/>
    <xf numFmtId="0" fontId="7" fillId="0" borderId="0" xfId="0" applyFont="1"/>
    <xf numFmtId="0" fontId="7" fillId="0" borderId="0" xfId="0" quotePrefix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2" fillId="2" borderId="2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6" fillId="0" borderId="46" xfId="0" applyFont="1" applyBorder="1" applyAlignment="1">
      <alignment vertical="center"/>
    </xf>
    <xf numFmtId="0" fontId="9" fillId="2" borderId="47" xfId="0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3" fontId="9" fillId="0" borderId="9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5" fillId="2" borderId="4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5" fillId="18" borderId="0" xfId="0" applyFont="1" applyFill="1" applyAlignment="1">
      <alignment vertical="center"/>
    </xf>
    <xf numFmtId="14" fontId="38" fillId="18" borderId="1" xfId="0" applyNumberFormat="1" applyFont="1" applyFill="1" applyBorder="1" applyAlignment="1">
      <alignment horizontal="center" vertical="center"/>
    </xf>
    <xf numFmtId="0" fontId="38" fillId="18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14" fontId="36" fillId="0" borderId="1" xfId="0" applyNumberFormat="1" applyFont="1" applyBorder="1" applyAlignment="1">
      <alignment horizontal="center" vertical="center" wrapText="1"/>
    </xf>
    <xf numFmtId="0" fontId="36" fillId="0" borderId="1" xfId="1" applyFont="1" applyBorder="1" applyAlignment="1">
      <alignment horizontal="center" vertical="center" wrapText="1"/>
    </xf>
    <xf numFmtId="49" fontId="36" fillId="0" borderId="1" xfId="1" applyNumberFormat="1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49" fontId="36" fillId="0" borderId="9" xfId="1" applyNumberFormat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14" fontId="39" fillId="0" borderId="1" xfId="0" applyNumberFormat="1" applyFont="1" applyBorder="1" applyAlignment="1">
      <alignment horizontal="center" vertical="center" wrapText="1"/>
    </xf>
    <xf numFmtId="0" fontId="5" fillId="18" borderId="0" xfId="0" applyFont="1" applyFill="1"/>
    <xf numFmtId="0" fontId="35" fillId="18" borderId="1" xfId="0" applyFont="1" applyFill="1" applyBorder="1"/>
    <xf numFmtId="0" fontId="35" fillId="18" borderId="0" xfId="0" applyFont="1" applyFill="1"/>
    <xf numFmtId="164" fontId="40" fillId="18" borderId="1" xfId="0" applyNumberFormat="1" applyFont="1" applyFill="1" applyBorder="1" applyAlignment="1">
      <alignment horizontal="center" vertical="center" wrapText="1"/>
    </xf>
    <xf numFmtId="164" fontId="38" fillId="18" borderId="1" xfId="0" applyNumberFormat="1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0" borderId="52" xfId="0" applyFont="1" applyBorder="1" applyAlignment="1">
      <alignment horizontal="center" vertical="center"/>
    </xf>
    <xf numFmtId="0" fontId="38" fillId="18" borderId="38" xfId="0" applyFont="1" applyFill="1" applyBorder="1" applyAlignment="1">
      <alignment horizontal="center" vertical="center" wrapText="1"/>
    </xf>
    <xf numFmtId="0" fontId="38" fillId="18" borderId="3" xfId="0" applyFont="1" applyFill="1" applyBorder="1" applyAlignment="1">
      <alignment horizontal="center" vertical="center" wrapText="1"/>
    </xf>
    <xf numFmtId="164" fontId="40" fillId="18" borderId="3" xfId="0" applyNumberFormat="1" applyFont="1" applyFill="1" applyBorder="1" applyAlignment="1">
      <alignment horizontal="center" vertical="center" wrapText="1"/>
    </xf>
    <xf numFmtId="164" fontId="38" fillId="18" borderId="3" xfId="0" applyNumberFormat="1" applyFont="1" applyFill="1" applyBorder="1" applyAlignment="1">
      <alignment horizontal="center" vertical="center" wrapText="1"/>
    </xf>
    <xf numFmtId="0" fontId="35" fillId="18" borderId="3" xfId="0" applyFont="1" applyFill="1" applyBorder="1"/>
    <xf numFmtId="49" fontId="36" fillId="19" borderId="1" xfId="1" applyNumberFormat="1" applyFont="1" applyFill="1" applyBorder="1" applyAlignment="1">
      <alignment horizontal="center" vertical="center" wrapText="1"/>
    </xf>
    <xf numFmtId="49" fontId="43" fillId="0" borderId="9" xfId="1" applyNumberFormat="1" applyFont="1" applyBorder="1" applyAlignment="1">
      <alignment horizontal="center" vertical="center" wrapText="1"/>
    </xf>
    <xf numFmtId="49" fontId="43" fillId="0" borderId="1" xfId="1" applyNumberFormat="1" applyFont="1" applyBorder="1" applyAlignment="1">
      <alignment horizontal="center" vertical="center" wrapText="1"/>
    </xf>
    <xf numFmtId="0" fontId="43" fillId="0" borderId="1" xfId="1" applyFont="1" applyBorder="1" applyAlignment="1">
      <alignment horizontal="center" vertical="center" wrapText="1"/>
    </xf>
    <xf numFmtId="0" fontId="45" fillId="0" borderId="1" xfId="0" applyNumberFormat="1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3" fillId="0" borderId="1" xfId="0" applyNumberFormat="1" applyFont="1" applyBorder="1" applyAlignment="1">
      <alignment horizontal="center" vertical="center" wrapText="1"/>
    </xf>
    <xf numFmtId="49" fontId="44" fillId="0" borderId="1" xfId="0" applyNumberFormat="1" applyFont="1" applyBorder="1" applyAlignment="1">
      <alignment horizontal="center" vertical="center" wrapText="1"/>
    </xf>
    <xf numFmtId="165" fontId="43" fillId="0" borderId="1" xfId="0" applyNumberFormat="1" applyFont="1" applyBorder="1" applyAlignment="1">
      <alignment horizontal="center" vertical="center" wrapText="1"/>
    </xf>
    <xf numFmtId="165" fontId="45" fillId="0" borderId="1" xfId="0" applyNumberFormat="1" applyFont="1" applyBorder="1" applyAlignment="1">
      <alignment horizontal="center" vertical="center" wrapText="1"/>
    </xf>
    <xf numFmtId="165" fontId="46" fillId="0" borderId="1" xfId="0" applyNumberFormat="1" applyFont="1" applyBorder="1" applyAlignment="1">
      <alignment horizontal="center" vertical="center" wrapText="1"/>
    </xf>
    <xf numFmtId="165" fontId="43" fillId="0" borderId="7" xfId="0" applyNumberFormat="1" applyFont="1" applyBorder="1" applyAlignment="1">
      <alignment horizontal="center" vertical="center" wrapText="1"/>
    </xf>
    <xf numFmtId="0" fontId="11" fillId="18" borderId="0" xfId="0" applyFont="1" applyFill="1" applyAlignment="1">
      <alignment horizontal="center" vertical="center"/>
    </xf>
    <xf numFmtId="0" fontId="38" fillId="18" borderId="1" xfId="0" applyFont="1" applyFill="1" applyBorder="1" applyAlignment="1">
      <alignment horizontal="center" vertical="center"/>
    </xf>
    <xf numFmtId="164" fontId="38" fillId="18" borderId="1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33" xfId="0" applyFont="1" applyBorder="1" applyAlignment="1">
      <alignment horizontal="center" vertical="center" textRotation="90"/>
    </xf>
    <xf numFmtId="0" fontId="4" fillId="0" borderId="44" xfId="0" applyFont="1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 textRotation="90"/>
    </xf>
    <xf numFmtId="0" fontId="4" fillId="0" borderId="40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 textRotation="90"/>
    </xf>
    <xf numFmtId="0" fontId="4" fillId="0" borderId="3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61">
    <cellStyle name="Normal" xfId="0" builtinId="0"/>
    <cellStyle name="Normal 2" xfId="118" xr:uid="{00000000-0005-0000-0000-000000000000}"/>
    <cellStyle name="Normal 2 2" xfId="138" xr:uid="{00000000-0005-0000-0000-000001000000}"/>
    <cellStyle name="Normal 3" xfId="119" xr:uid="{00000000-0005-0000-0000-000002000000}"/>
    <cellStyle name="Percent 2" xfId="136" xr:uid="{00000000-0005-0000-0000-000003000000}"/>
    <cellStyle name="Акцент1 2" xfId="30" xr:uid="{00000000-0005-0000-0000-000004000000}"/>
    <cellStyle name="Акцент1 3" xfId="57" xr:uid="{00000000-0005-0000-0000-000005000000}"/>
    <cellStyle name="Акцент1 4" xfId="85" xr:uid="{00000000-0005-0000-0000-000006000000}"/>
    <cellStyle name="Акцент1 5" xfId="3" xr:uid="{00000000-0005-0000-0000-000007000000}"/>
    <cellStyle name="Акцент2 2" xfId="31" xr:uid="{00000000-0005-0000-0000-000008000000}"/>
    <cellStyle name="Акцент2 3" xfId="58" xr:uid="{00000000-0005-0000-0000-000009000000}"/>
    <cellStyle name="Акцент2 4" xfId="86" xr:uid="{00000000-0005-0000-0000-00000A000000}"/>
    <cellStyle name="Акцент2 5" xfId="4" xr:uid="{00000000-0005-0000-0000-00000B000000}"/>
    <cellStyle name="Акцент3 2" xfId="32" xr:uid="{00000000-0005-0000-0000-00000C000000}"/>
    <cellStyle name="Акцент3 3" xfId="59" xr:uid="{00000000-0005-0000-0000-00000D000000}"/>
    <cellStyle name="Акцент3 4" xfId="87" xr:uid="{00000000-0005-0000-0000-00000E000000}"/>
    <cellStyle name="Акцент3 5" xfId="5" xr:uid="{00000000-0005-0000-0000-00000F000000}"/>
    <cellStyle name="Акцент4 2" xfId="33" xr:uid="{00000000-0005-0000-0000-000010000000}"/>
    <cellStyle name="Акцент4 3" xfId="60" xr:uid="{00000000-0005-0000-0000-000011000000}"/>
    <cellStyle name="Акцент4 4" xfId="88" xr:uid="{00000000-0005-0000-0000-000012000000}"/>
    <cellStyle name="Акцент4 5" xfId="6" xr:uid="{00000000-0005-0000-0000-000013000000}"/>
    <cellStyle name="Акцент5 2" xfId="34" xr:uid="{00000000-0005-0000-0000-000014000000}"/>
    <cellStyle name="Акцент5 3" xfId="61" xr:uid="{00000000-0005-0000-0000-000015000000}"/>
    <cellStyle name="Акцент5 4" xfId="89" xr:uid="{00000000-0005-0000-0000-000016000000}"/>
    <cellStyle name="Акцент5 5" xfId="7" xr:uid="{00000000-0005-0000-0000-000017000000}"/>
    <cellStyle name="Акцент6 2" xfId="35" xr:uid="{00000000-0005-0000-0000-000018000000}"/>
    <cellStyle name="Акцент6 3" xfId="62" xr:uid="{00000000-0005-0000-0000-000019000000}"/>
    <cellStyle name="Акцент6 4" xfId="90" xr:uid="{00000000-0005-0000-0000-00001A000000}"/>
    <cellStyle name="Акцент6 5" xfId="8" xr:uid="{00000000-0005-0000-0000-00001B000000}"/>
    <cellStyle name="Ввід 2" xfId="146" xr:uid="{00000000-0005-0000-0000-00001C000000}"/>
    <cellStyle name="Ввод  2" xfId="36" xr:uid="{00000000-0005-0000-0000-00001D000000}"/>
    <cellStyle name="Ввод  3" xfId="63" xr:uid="{00000000-0005-0000-0000-00001E000000}"/>
    <cellStyle name="Ввод  4" xfId="91" xr:uid="{00000000-0005-0000-0000-00001F000000}"/>
    <cellStyle name="Ввод  5" xfId="9" xr:uid="{00000000-0005-0000-0000-000020000000}"/>
    <cellStyle name="Відсотковий 2" xfId="159" xr:uid="{00000000-0005-0000-0000-000021000000}"/>
    <cellStyle name="Вывод 2" xfId="37" xr:uid="{00000000-0005-0000-0000-000022000000}"/>
    <cellStyle name="Вывод 3" xfId="64" xr:uid="{00000000-0005-0000-0000-000023000000}"/>
    <cellStyle name="Вывод 4" xfId="92" xr:uid="{00000000-0005-0000-0000-000024000000}"/>
    <cellStyle name="Вывод 5" xfId="10" xr:uid="{00000000-0005-0000-0000-000025000000}"/>
    <cellStyle name="Вычисление 2" xfId="38" xr:uid="{00000000-0005-0000-0000-000026000000}"/>
    <cellStyle name="Вычисление 3" xfId="65" xr:uid="{00000000-0005-0000-0000-000027000000}"/>
    <cellStyle name="Вычисление 4" xfId="93" xr:uid="{00000000-0005-0000-0000-000028000000}"/>
    <cellStyle name="Вычисление 5" xfId="11" xr:uid="{00000000-0005-0000-0000-000029000000}"/>
    <cellStyle name="Гарний 2" xfId="158" xr:uid="{00000000-0005-0000-0000-00002A000000}"/>
    <cellStyle name="Заголовок 1 2" xfId="39" xr:uid="{00000000-0005-0000-0000-00002B000000}"/>
    <cellStyle name="Заголовок 1 3" xfId="66" xr:uid="{00000000-0005-0000-0000-00002C000000}"/>
    <cellStyle name="Заголовок 1 4" xfId="94" xr:uid="{00000000-0005-0000-0000-00002D000000}"/>
    <cellStyle name="Заголовок 1 5" xfId="12" xr:uid="{00000000-0005-0000-0000-00002E000000}"/>
    <cellStyle name="Заголовок 2 2" xfId="40" xr:uid="{00000000-0005-0000-0000-00002F000000}"/>
    <cellStyle name="Заголовок 2 3" xfId="67" xr:uid="{00000000-0005-0000-0000-000030000000}"/>
    <cellStyle name="Заголовок 2 4" xfId="95" xr:uid="{00000000-0005-0000-0000-000031000000}"/>
    <cellStyle name="Заголовок 2 5" xfId="13" xr:uid="{00000000-0005-0000-0000-000032000000}"/>
    <cellStyle name="Заголовок 3 2" xfId="41" xr:uid="{00000000-0005-0000-0000-000033000000}"/>
    <cellStyle name="Заголовок 3 3" xfId="68" xr:uid="{00000000-0005-0000-0000-000034000000}"/>
    <cellStyle name="Заголовок 3 4" xfId="96" xr:uid="{00000000-0005-0000-0000-000035000000}"/>
    <cellStyle name="Заголовок 3 5" xfId="14" xr:uid="{00000000-0005-0000-0000-000036000000}"/>
    <cellStyle name="Заголовок 4 2" xfId="42" xr:uid="{00000000-0005-0000-0000-000037000000}"/>
    <cellStyle name="Заголовок 4 3" xfId="69" xr:uid="{00000000-0005-0000-0000-000038000000}"/>
    <cellStyle name="Заголовок 4 4" xfId="97" xr:uid="{00000000-0005-0000-0000-000039000000}"/>
    <cellStyle name="Заголовок 4 5" xfId="15" xr:uid="{00000000-0005-0000-0000-00003A000000}"/>
    <cellStyle name="Звичайний 2" xfId="139" xr:uid="{00000000-0005-0000-0000-00003B000000}"/>
    <cellStyle name="Зв'язана клітинка 2" xfId="156" xr:uid="{00000000-0005-0000-0000-00003C000000}"/>
    <cellStyle name="Итог 2" xfId="43" xr:uid="{00000000-0005-0000-0000-00003D000000}"/>
    <cellStyle name="Итог 3" xfId="70" xr:uid="{00000000-0005-0000-0000-00003E000000}"/>
    <cellStyle name="Итог 4" xfId="98" xr:uid="{00000000-0005-0000-0000-00003F000000}"/>
    <cellStyle name="Итог 5" xfId="16" xr:uid="{00000000-0005-0000-0000-000040000000}"/>
    <cellStyle name="Колірна тема 1 2" xfId="140" xr:uid="{00000000-0005-0000-0000-000041000000}"/>
    <cellStyle name="Колірна тема 2 2" xfId="141" xr:uid="{00000000-0005-0000-0000-000042000000}"/>
    <cellStyle name="Колірна тема 3 2" xfId="142" xr:uid="{00000000-0005-0000-0000-000043000000}"/>
    <cellStyle name="Колірна тема 4 2" xfId="143" xr:uid="{00000000-0005-0000-0000-000044000000}"/>
    <cellStyle name="Колірна тема 5 2" xfId="144" xr:uid="{00000000-0005-0000-0000-000045000000}"/>
    <cellStyle name="Колірна тема 6 2" xfId="145" xr:uid="{00000000-0005-0000-0000-000046000000}"/>
    <cellStyle name="Контрольна клітинка 2" xfId="150" xr:uid="{00000000-0005-0000-0000-000047000000}"/>
    <cellStyle name="Контрольная ячейка 2" xfId="44" xr:uid="{00000000-0005-0000-0000-000048000000}"/>
    <cellStyle name="Контрольная ячейка 3" xfId="71" xr:uid="{00000000-0005-0000-0000-000049000000}"/>
    <cellStyle name="Контрольная ячейка 4" xfId="99" xr:uid="{00000000-0005-0000-0000-00004A000000}"/>
    <cellStyle name="Контрольная ячейка 5" xfId="17" xr:uid="{00000000-0005-0000-0000-00004B000000}"/>
    <cellStyle name="Назва 2" xfId="151" xr:uid="{00000000-0005-0000-0000-00004C000000}"/>
    <cellStyle name="Название 2" xfId="45" xr:uid="{00000000-0005-0000-0000-00004D000000}"/>
    <cellStyle name="Название 3" xfId="72" xr:uid="{00000000-0005-0000-0000-00004E000000}"/>
    <cellStyle name="Название 4" xfId="100" xr:uid="{00000000-0005-0000-0000-00004F000000}"/>
    <cellStyle name="Название 5" xfId="18" xr:uid="{00000000-0005-0000-0000-000050000000}"/>
    <cellStyle name="Нейтральний 2" xfId="152" xr:uid="{00000000-0005-0000-0000-000051000000}"/>
    <cellStyle name="Нейтральный 2" xfId="46" xr:uid="{00000000-0005-0000-0000-000052000000}"/>
    <cellStyle name="Нейтральный 3" xfId="73" xr:uid="{00000000-0005-0000-0000-000053000000}"/>
    <cellStyle name="Нейтральный 4" xfId="101" xr:uid="{00000000-0005-0000-0000-000054000000}"/>
    <cellStyle name="Нейтральный 5" xfId="19" xr:uid="{00000000-0005-0000-0000-000055000000}"/>
    <cellStyle name="Обчислення 2" xfId="148" xr:uid="{00000000-0005-0000-0000-000056000000}"/>
    <cellStyle name="Обычный 10" xfId="83" xr:uid="{00000000-0005-0000-0000-000058000000}"/>
    <cellStyle name="Обычный 10 2" xfId="127" xr:uid="{00000000-0005-0000-0000-000059000000}"/>
    <cellStyle name="Обычный 15" xfId="117" xr:uid="{00000000-0005-0000-0000-00005A000000}"/>
    <cellStyle name="Обычный 15 2" xfId="137" xr:uid="{00000000-0005-0000-0000-00005B000000}"/>
    <cellStyle name="Обычный 2" xfId="26" xr:uid="{00000000-0005-0000-0000-00005C000000}"/>
    <cellStyle name="Обычный 2 2" xfId="2" xr:uid="{00000000-0005-0000-0000-00005D000000}"/>
    <cellStyle name="Обычный 2 2 2" xfId="82" xr:uid="{00000000-0005-0000-0000-00005E000000}"/>
    <cellStyle name="Обычный 2 2 2 2" xfId="115" xr:uid="{00000000-0005-0000-0000-00005F000000}"/>
    <cellStyle name="Обычный 2 2 2 2 2" xfId="135" xr:uid="{00000000-0005-0000-0000-000060000000}"/>
    <cellStyle name="Обычный 2 2 2 3" xfId="126" xr:uid="{00000000-0005-0000-0000-000061000000}"/>
    <cellStyle name="Обычный 2 2 3" xfId="110" xr:uid="{00000000-0005-0000-0000-000062000000}"/>
    <cellStyle name="Обычный 2 2 3 2" xfId="131" xr:uid="{00000000-0005-0000-0000-000063000000}"/>
    <cellStyle name="Обычный 2 2 4" xfId="122" xr:uid="{00000000-0005-0000-0000-000064000000}"/>
    <cellStyle name="Обычный 2 3" xfId="80" xr:uid="{00000000-0005-0000-0000-000065000000}"/>
    <cellStyle name="Обычный 2 3 2" xfId="113" xr:uid="{00000000-0005-0000-0000-000066000000}"/>
    <cellStyle name="Обычный 2 3 2 2" xfId="133" xr:uid="{00000000-0005-0000-0000-000067000000}"/>
    <cellStyle name="Обычный 2 3 3" xfId="124" xr:uid="{00000000-0005-0000-0000-000068000000}"/>
    <cellStyle name="Обычный 2 4" xfId="108" xr:uid="{00000000-0005-0000-0000-000069000000}"/>
    <cellStyle name="Обычный 2 4 2" xfId="129" xr:uid="{00000000-0005-0000-0000-00006A000000}"/>
    <cellStyle name="Обычный 2 5" xfId="120" xr:uid="{00000000-0005-0000-0000-00006B000000}"/>
    <cellStyle name="Обычный 3" xfId="27" xr:uid="{00000000-0005-0000-0000-00006C000000}"/>
    <cellStyle name="Обычный 3 2" xfId="53" xr:uid="{00000000-0005-0000-0000-00006D000000}"/>
    <cellStyle name="Обычный 4" xfId="1" xr:uid="{00000000-0005-0000-0000-00006E000000}"/>
    <cellStyle name="Обычный 5" xfId="29" xr:uid="{00000000-0005-0000-0000-00006F000000}"/>
    <cellStyle name="Обычный 5 2" xfId="54" xr:uid="{00000000-0005-0000-0000-000070000000}"/>
    <cellStyle name="Обычный 6" xfId="28" xr:uid="{00000000-0005-0000-0000-000071000000}"/>
    <cellStyle name="Обычный 6 2" xfId="81" xr:uid="{00000000-0005-0000-0000-000072000000}"/>
    <cellStyle name="Обычный 6 2 2" xfId="114" xr:uid="{00000000-0005-0000-0000-000073000000}"/>
    <cellStyle name="Обычный 6 2 2 2" xfId="134" xr:uid="{00000000-0005-0000-0000-000074000000}"/>
    <cellStyle name="Обычный 6 2 3" xfId="125" xr:uid="{00000000-0005-0000-0000-000075000000}"/>
    <cellStyle name="Обычный 6 3" xfId="109" xr:uid="{00000000-0005-0000-0000-000076000000}"/>
    <cellStyle name="Обычный 6 3 2" xfId="130" xr:uid="{00000000-0005-0000-0000-000077000000}"/>
    <cellStyle name="Обычный 6 4" xfId="121" xr:uid="{00000000-0005-0000-0000-000078000000}"/>
    <cellStyle name="Обычный 7" xfId="56" xr:uid="{00000000-0005-0000-0000-000079000000}"/>
    <cellStyle name="Обычный 7 2" xfId="112" xr:uid="{00000000-0005-0000-0000-00007A000000}"/>
    <cellStyle name="Обычный 8" xfId="55" xr:uid="{00000000-0005-0000-0000-00007B000000}"/>
    <cellStyle name="Обычный 8 2" xfId="111" xr:uid="{00000000-0005-0000-0000-00007C000000}"/>
    <cellStyle name="Обычный 8 2 2" xfId="132" xr:uid="{00000000-0005-0000-0000-00007D000000}"/>
    <cellStyle name="Обычный 8 3" xfId="123" xr:uid="{00000000-0005-0000-0000-00007E000000}"/>
    <cellStyle name="Обычный 9" xfId="84" xr:uid="{00000000-0005-0000-0000-00007F000000}"/>
    <cellStyle name="Обычный 9 2" xfId="128" xr:uid="{00000000-0005-0000-0000-000080000000}"/>
    <cellStyle name="Підсумок 2" xfId="149" xr:uid="{00000000-0005-0000-0000-000081000000}"/>
    <cellStyle name="Плохой 2" xfId="47" xr:uid="{00000000-0005-0000-0000-000082000000}"/>
    <cellStyle name="Плохой 3" xfId="74" xr:uid="{00000000-0005-0000-0000-000083000000}"/>
    <cellStyle name="Плохой 4" xfId="102" xr:uid="{00000000-0005-0000-0000-000084000000}"/>
    <cellStyle name="Плохой 5" xfId="20" xr:uid="{00000000-0005-0000-0000-000085000000}"/>
    <cellStyle name="Поганий 2" xfId="153" xr:uid="{00000000-0005-0000-0000-000086000000}"/>
    <cellStyle name="Пояснение 2" xfId="48" xr:uid="{00000000-0005-0000-0000-000087000000}"/>
    <cellStyle name="Пояснение 3" xfId="75" xr:uid="{00000000-0005-0000-0000-000088000000}"/>
    <cellStyle name="Пояснение 4" xfId="103" xr:uid="{00000000-0005-0000-0000-000089000000}"/>
    <cellStyle name="Пояснение 5" xfId="21" xr:uid="{00000000-0005-0000-0000-00008A000000}"/>
    <cellStyle name="Примечание 2" xfId="49" xr:uid="{00000000-0005-0000-0000-00008B000000}"/>
    <cellStyle name="Примечание 3" xfId="76" xr:uid="{00000000-0005-0000-0000-00008C000000}"/>
    <cellStyle name="Примечание 4" xfId="104" xr:uid="{00000000-0005-0000-0000-00008D000000}"/>
    <cellStyle name="Примечание 5" xfId="22" xr:uid="{00000000-0005-0000-0000-00008E000000}"/>
    <cellStyle name="Примітка 2" xfId="155" xr:uid="{00000000-0005-0000-0000-00008F000000}"/>
    <cellStyle name="Процентный 2" xfId="116" xr:uid="{00000000-0005-0000-0000-000090000000}"/>
    <cellStyle name="Результат 2" xfId="147" xr:uid="{00000000-0005-0000-0000-000091000000}"/>
    <cellStyle name="Связанная ячейка 2" xfId="50" xr:uid="{00000000-0005-0000-0000-000092000000}"/>
    <cellStyle name="Связанная ячейка 3" xfId="77" xr:uid="{00000000-0005-0000-0000-000093000000}"/>
    <cellStyle name="Связанная ячейка 4" xfId="105" xr:uid="{00000000-0005-0000-0000-000094000000}"/>
    <cellStyle name="Связанная ячейка 5" xfId="23" xr:uid="{00000000-0005-0000-0000-000095000000}"/>
    <cellStyle name="Стиль 1" xfId="160" xr:uid="{00000000-0005-0000-0000-000096000000}"/>
    <cellStyle name="Текст попередження 2" xfId="157" xr:uid="{00000000-0005-0000-0000-000097000000}"/>
    <cellStyle name="Текст пояснення 2" xfId="154" xr:uid="{00000000-0005-0000-0000-000098000000}"/>
    <cellStyle name="Текст предупреждения 2" xfId="51" xr:uid="{00000000-0005-0000-0000-000099000000}"/>
    <cellStyle name="Текст предупреждения 3" xfId="78" xr:uid="{00000000-0005-0000-0000-00009A000000}"/>
    <cellStyle name="Текст предупреждения 4" xfId="106" xr:uid="{00000000-0005-0000-0000-00009B000000}"/>
    <cellStyle name="Текст предупреждения 5" xfId="24" xr:uid="{00000000-0005-0000-0000-00009C000000}"/>
    <cellStyle name="Хороший 2" xfId="52" xr:uid="{00000000-0005-0000-0000-00009D000000}"/>
    <cellStyle name="Хороший 3" xfId="79" xr:uid="{00000000-0005-0000-0000-00009E000000}"/>
    <cellStyle name="Хороший 4" xfId="107" xr:uid="{00000000-0005-0000-0000-00009F000000}"/>
    <cellStyle name="Хороший 5" xfId="25" xr:uid="{00000000-0005-0000-0000-0000A0000000}"/>
  </cellStyles>
  <dxfs count="3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scheme val="none"/>
      </font>
      <numFmt numFmtId="165" formatCode="m/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Times New Roman"/>
        <scheme val="none"/>
      </font>
      <numFmt numFmtId="165" formatCode="m/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ADADAD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scheme val="none"/>
      </font>
      <numFmt numFmtId="165" formatCode="m/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scheme val="none"/>
      </font>
      <numFmt numFmtId="165" formatCode="m/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scheme val="none"/>
      </font>
      <numFmt numFmtId="165" formatCode="m/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ADADAD"/>
        <name val="Times New Roman"/>
        <scheme val="none"/>
      </font>
      <numFmt numFmtId="165" formatCode="m/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ADADAD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scheme val="none"/>
      </font>
      <numFmt numFmtId="165" formatCode="m/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scheme val="none"/>
      </font>
      <numFmt numFmtId="165" formatCode="m/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scheme val="none"/>
      </font>
      <numFmt numFmtId="165" formatCode="m/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1" tint="0.249977111117893"/>
          <bgColor theme="1" tint="0.249977111117893"/>
        </patternFill>
      </fill>
    </dxf>
    <dxf>
      <fill>
        <patternFill patternType="solid">
          <fgColor auto="1"/>
          <bgColor theme="2" tint="-0.749961851863155"/>
        </patternFill>
      </fill>
    </dxf>
    <dxf>
      <fill>
        <patternFill patternType="solid">
          <fgColor auto="1"/>
          <bgColor theme="1" tint="0.1498458815271462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1" tint="0.14999847407452621"/>
          <bgColor theme="1" tint="0.14999847407452621"/>
        </patternFill>
      </fill>
      <border>
        <top style="medium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0.44999542222357858"/>
          <bgColor theme="1" tint="0.44999542222357858"/>
        </patternFill>
      </fill>
    </dxf>
  </dxfs>
  <tableStyles count="1" defaultTableStyle="TableStyleMedium2" defaultPivotStyle="PivotStyleLight16">
    <tableStyle name="TableStyleDark_my" pivot="0" count="8" xr9:uid="{00000000-0011-0000-FFFF-FFFF00000000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secondRowStripe" dxfId="27"/>
      <tableStyleElement type="firstColumnStripe" dxfId="26"/>
    </tableStyle>
  </tableStyles>
  <colors>
    <mruColors>
      <color rgb="FF40404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3000000}" name="ВІДСУТНІ" displayName="ВІДСУТНІ" ref="A5:Q9" totalsRowShown="0" headerRowDxfId="25" dataDxfId="23" headerRowBorderDxfId="24" tableBorderDxfId="22" totalsRowBorderDxfId="21">
  <sortState xmlns:xlrd2="http://schemas.microsoft.com/office/spreadsheetml/2017/richdata2" ref="A4:P5">
    <sortCondition ref="G5"/>
  </sortState>
  <tableColumns count="17">
    <tableColumn id="1" xr3:uid="{00000000-0010-0000-0300-000001000000}" name="65" dataDxfId="20"/>
    <tableColumn id="2" xr3:uid="{00000000-0010-0000-0300-000002000000}" name="66" dataDxfId="19"/>
    <tableColumn id="3" xr3:uid="{00000000-0010-0000-0300-000003000000}" name="67" dataDxfId="18"/>
    <tableColumn id="4" xr3:uid="{00000000-0010-0000-0300-000004000000}" name="68" dataDxfId="17"/>
    <tableColumn id="5" xr3:uid="{00000000-0010-0000-0300-000005000000}" name="69" dataDxfId="16"/>
    <tableColumn id="6" xr3:uid="{00000000-0010-0000-0300-000006000000}" name="70" dataDxfId="15"/>
    <tableColumn id="7" xr3:uid="{00000000-0010-0000-0300-000007000000}" name="71 (А)" dataDxfId="14"/>
    <tableColumn id="8" xr3:uid="{00000000-0010-0000-0300-000008000000}" name="71 (Б)" dataDxfId="13"/>
    <tableColumn id="9" xr3:uid="{00000000-0010-0000-0300-000009000000}" name="72" dataDxfId="12"/>
    <tableColumn id="10" xr3:uid="{00000000-0010-0000-0300-00000A000000}" name="73" dataDxfId="11"/>
    <tableColumn id="11" xr3:uid="{00000000-0010-0000-0300-00000B000000}" name="74" dataDxfId="10"/>
    <tableColumn id="12" xr3:uid="{00000000-0010-0000-0300-00000C000000}" name="75 (А)" dataDxfId="9"/>
    <tableColumn id="13" xr3:uid="{00000000-0010-0000-0300-00000D000000}" name="75 (Б)" dataDxfId="8"/>
    <tableColumn id="14" xr3:uid="{00000000-0010-0000-0300-00000E000000}" name="76" dataDxfId="7"/>
    <tableColumn id="15" xr3:uid="{00000000-0010-0000-0300-00000F000000}" name="Стовпець1" dataDxfId="6"/>
    <tableColumn id="16" xr3:uid="{00000000-0010-0000-0300-000010000000}" name="Стовпець2" dataDxfId="5"/>
    <tableColumn id="17" xr3:uid="{00000000-0010-0000-0300-000011000000}" name="Стовпець3" dataDxfId="4"/>
  </tableColumns>
  <tableStyleInfo name="TableStyleDark_m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0000"/>
    <pageSetUpPr fitToPage="1"/>
  </sheetPr>
  <dimension ref="A1:Q9"/>
  <sheetViews>
    <sheetView tabSelected="1" zoomScale="70" zoomScaleNormal="70" workbookViewId="0">
      <selection activeCell="E8" sqref="E8"/>
    </sheetView>
  </sheetViews>
  <sheetFormatPr defaultColWidth="8.85546875" defaultRowHeight="15" x14ac:dyDescent="0.25"/>
  <cols>
    <col min="1" max="1" width="20.85546875" style="60" customWidth="1"/>
    <col min="2" max="2" width="37.28515625" style="60" customWidth="1"/>
    <col min="3" max="3" width="16.85546875" style="60" customWidth="1"/>
    <col min="4" max="4" width="16.42578125" style="60" customWidth="1"/>
    <col min="5" max="5" width="41.85546875" style="60" customWidth="1"/>
    <col min="6" max="6" width="15.85546875" style="60" customWidth="1"/>
    <col min="7" max="7" width="16" style="60" customWidth="1"/>
    <col min="8" max="8" width="9.85546875" style="60" customWidth="1"/>
    <col min="9" max="9" width="15.5703125" style="60" customWidth="1"/>
    <col min="10" max="10" width="15.7109375" style="60" customWidth="1"/>
    <col min="11" max="11" width="16.28515625" style="60" customWidth="1"/>
    <col min="12" max="12" width="14.42578125" style="60" customWidth="1"/>
    <col min="13" max="13" width="14.28515625" style="60" customWidth="1"/>
    <col min="14" max="14" width="47.85546875" style="60" customWidth="1"/>
    <col min="15" max="15" width="15.85546875" style="60" customWidth="1"/>
    <col min="16" max="16" width="14.85546875" style="60" customWidth="1"/>
    <col min="17" max="17" width="24.5703125" style="60" customWidth="1"/>
    <col min="18" max="16384" width="8.85546875" style="60"/>
  </cols>
  <sheetData>
    <row r="1" spans="1:17" s="49" customFormat="1" ht="23.25" x14ac:dyDescent="0.25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17" s="62" customFormat="1" ht="18.75" x14ac:dyDescent="0.25">
      <c r="A2" s="50">
        <v>45772</v>
      </c>
      <c r="B2" s="88" t="s">
        <v>15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61"/>
    </row>
    <row r="3" spans="1:17" s="62" customFormat="1" ht="117.75" x14ac:dyDescent="0.25">
      <c r="A3" s="51" t="s">
        <v>1</v>
      </c>
      <c r="B3" s="51" t="s">
        <v>2</v>
      </c>
      <c r="C3" s="51" t="s">
        <v>0</v>
      </c>
      <c r="D3" s="63" t="s">
        <v>165</v>
      </c>
      <c r="E3" s="64" t="s">
        <v>16</v>
      </c>
      <c r="F3" s="64" t="s">
        <v>13</v>
      </c>
      <c r="G3" s="89" t="s">
        <v>14</v>
      </c>
      <c r="H3" s="89"/>
      <c r="I3" s="63" t="s">
        <v>166</v>
      </c>
      <c r="J3" s="64" t="s">
        <v>167</v>
      </c>
      <c r="K3" s="64" t="s">
        <v>17</v>
      </c>
      <c r="L3" s="89" t="s">
        <v>12</v>
      </c>
      <c r="M3" s="89"/>
      <c r="N3" s="64" t="s">
        <v>11</v>
      </c>
      <c r="O3" s="61"/>
    </row>
    <row r="4" spans="1:17" s="62" customFormat="1" ht="18.75" x14ac:dyDescent="0.25">
      <c r="A4" s="70"/>
      <c r="B4" s="75"/>
      <c r="C4" s="71"/>
      <c r="D4" s="72"/>
      <c r="E4" s="73"/>
      <c r="F4" s="73"/>
      <c r="G4" s="73"/>
      <c r="H4" s="73"/>
      <c r="I4" s="72"/>
      <c r="J4" s="73"/>
      <c r="K4" s="73"/>
      <c r="L4" s="73"/>
      <c r="M4" s="73"/>
      <c r="N4" s="73"/>
      <c r="O4" s="74"/>
    </row>
    <row r="5" spans="1:17" ht="18.75" x14ac:dyDescent="0.25">
      <c r="A5" s="66" t="s">
        <v>135</v>
      </c>
      <c r="B5" s="67" t="s">
        <v>136</v>
      </c>
      <c r="C5" s="67" t="s">
        <v>137</v>
      </c>
      <c r="D5" s="67" t="s">
        <v>138</v>
      </c>
      <c r="E5" s="67" t="s">
        <v>139</v>
      </c>
      <c r="F5" s="67" t="s">
        <v>140</v>
      </c>
      <c r="G5" s="67" t="s">
        <v>145</v>
      </c>
      <c r="H5" s="67" t="s">
        <v>146</v>
      </c>
      <c r="I5" s="67" t="s">
        <v>141</v>
      </c>
      <c r="J5" s="67" t="s">
        <v>142</v>
      </c>
      <c r="K5" s="67" t="s">
        <v>143</v>
      </c>
      <c r="L5" s="67" t="s">
        <v>147</v>
      </c>
      <c r="M5" s="67" t="s">
        <v>148</v>
      </c>
      <c r="N5" s="67" t="s">
        <v>144</v>
      </c>
      <c r="O5" s="68" t="s">
        <v>162</v>
      </c>
      <c r="P5" s="67" t="s">
        <v>163</v>
      </c>
      <c r="Q5" s="69" t="s">
        <v>164</v>
      </c>
    </row>
    <row r="6" spans="1:17" ht="18.75" x14ac:dyDescent="0.25">
      <c r="A6" s="57"/>
      <c r="B6" s="55"/>
      <c r="C6" s="54"/>
      <c r="D6" s="48"/>
      <c r="E6" s="48"/>
      <c r="F6" s="53"/>
      <c r="G6" s="53"/>
      <c r="H6" s="53"/>
      <c r="I6" s="58"/>
      <c r="J6" s="59"/>
      <c r="K6" s="53"/>
      <c r="L6" s="53"/>
      <c r="M6" s="53"/>
      <c r="N6" s="58"/>
      <c r="O6" s="52"/>
      <c r="P6" s="65"/>
      <c r="Q6" s="56"/>
    </row>
    <row r="7" spans="1:17" ht="18.75" x14ac:dyDescent="0.25">
      <c r="A7" s="57"/>
      <c r="B7" s="55"/>
      <c r="C7" s="54"/>
      <c r="D7" s="48"/>
      <c r="E7" s="48"/>
      <c r="F7" s="53"/>
      <c r="G7" s="53"/>
      <c r="H7" s="53"/>
      <c r="I7" s="58"/>
      <c r="J7" s="59"/>
      <c r="K7" s="53"/>
      <c r="L7" s="53"/>
      <c r="M7" s="53"/>
      <c r="N7" s="58"/>
      <c r="O7" s="52"/>
      <c r="P7" s="65"/>
      <c r="Q7" s="56"/>
    </row>
    <row r="8" spans="1:17" ht="18.75" x14ac:dyDescent="0.25">
      <c r="A8" s="57"/>
      <c r="B8" s="55"/>
      <c r="C8" s="54"/>
      <c r="D8" s="48"/>
      <c r="E8" s="48"/>
      <c r="F8" s="53"/>
      <c r="G8" s="53"/>
      <c r="H8" s="53"/>
      <c r="I8" s="58"/>
      <c r="J8" s="59"/>
      <c r="K8" s="53"/>
      <c r="L8" s="53"/>
      <c r="M8" s="53"/>
      <c r="N8" s="58"/>
      <c r="O8" s="52"/>
      <c r="P8" s="65"/>
      <c r="Q8" s="56"/>
    </row>
    <row r="9" spans="1:17" ht="37.5" x14ac:dyDescent="0.25">
      <c r="A9" s="76"/>
      <c r="B9" s="77" t="s">
        <v>168</v>
      </c>
      <c r="C9" s="78"/>
      <c r="D9" s="82" t="s">
        <v>170</v>
      </c>
      <c r="E9" s="82" t="s">
        <v>169</v>
      </c>
      <c r="F9" s="83">
        <v>46310</v>
      </c>
      <c r="G9" s="83"/>
      <c r="H9" s="83"/>
      <c r="I9" s="79"/>
      <c r="J9" s="84"/>
      <c r="K9" s="83"/>
      <c r="L9" s="83"/>
      <c r="M9" s="83"/>
      <c r="N9" s="80"/>
      <c r="O9" s="81">
        <v>1</v>
      </c>
      <c r="P9" s="85"/>
      <c r="Q9" s="86"/>
    </row>
  </sheetData>
  <mergeCells count="4">
    <mergeCell ref="A1:N1"/>
    <mergeCell ref="B2:N2"/>
    <mergeCell ref="G3:H3"/>
    <mergeCell ref="L3:M3"/>
  </mergeCells>
  <phoneticPr fontId="1" type="noConversion"/>
  <conditionalFormatting sqref="B4">
    <cfRule type="duplicateValues" dxfId="3" priority="1"/>
  </conditionalFormatting>
  <conditionalFormatting sqref="B6:B9">
    <cfRule type="duplicateValues" dxfId="2" priority="20782"/>
  </conditionalFormatting>
  <pageMargins left="0.7" right="0.7" top="0.75" bottom="0.75" header="0.3" footer="0.3"/>
  <pageSetup paperSize="9" scale="42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FF00"/>
    <pageSetUpPr fitToPage="1"/>
  </sheetPr>
  <dimension ref="A1:BQ29"/>
  <sheetViews>
    <sheetView showZeros="0" view="pageBreakPreview" zoomScale="60" zoomScaleNormal="70" workbookViewId="0">
      <selection activeCell="O26" sqref="O26"/>
    </sheetView>
  </sheetViews>
  <sheetFormatPr defaultColWidth="9.140625" defaultRowHeight="15.75" x14ac:dyDescent="0.25"/>
  <cols>
    <col min="1" max="1" width="83.28515625" style="3" customWidth="1"/>
    <col min="2" max="2" width="12.28515625" style="4" bestFit="1" customWidth="1"/>
    <col min="3" max="3" width="7.140625" style="4" customWidth="1"/>
    <col min="4" max="4" width="4.7109375" style="4" customWidth="1"/>
    <col min="5" max="5" width="7.140625" style="4" customWidth="1"/>
    <col min="6" max="6" width="4.7109375" style="4" customWidth="1"/>
    <col min="7" max="7" width="7.140625" style="4" customWidth="1"/>
    <col min="8" max="8" width="4.7109375" style="4" customWidth="1"/>
    <col min="9" max="9" width="7.140625" style="4" customWidth="1"/>
    <col min="10" max="10" width="4.7109375" style="4" customWidth="1"/>
    <col min="11" max="11" width="7.140625" style="4" customWidth="1"/>
    <col min="12" max="12" width="4.7109375" style="4" customWidth="1"/>
    <col min="13" max="13" width="7.140625" style="4" customWidth="1"/>
    <col min="14" max="14" width="4.7109375" style="4" customWidth="1"/>
    <col min="15" max="15" width="20" style="4" customWidth="1"/>
    <col min="16" max="16" width="7.140625" style="4" customWidth="1"/>
    <col min="17" max="17" width="4.7109375" style="4" customWidth="1"/>
    <col min="18" max="18" width="7.140625" style="4" customWidth="1"/>
    <col min="19" max="19" width="4.7109375" style="4" customWidth="1"/>
    <col min="20" max="20" width="7.140625" style="4" customWidth="1"/>
    <col min="21" max="21" width="4.7109375" style="4" customWidth="1"/>
    <col min="22" max="22" width="7.140625" style="4" customWidth="1"/>
    <col min="23" max="23" width="4.7109375" style="4" customWidth="1"/>
    <col min="24" max="24" width="7.140625" style="4" customWidth="1"/>
    <col min="25" max="25" width="4.7109375" style="4" customWidth="1"/>
    <col min="26" max="26" width="7.140625" style="4" customWidth="1"/>
    <col min="27" max="27" width="4.7109375" style="4" customWidth="1"/>
    <col min="28" max="28" width="7.140625" style="4" customWidth="1"/>
    <col min="29" max="29" width="4.7109375" style="4" customWidth="1"/>
    <col min="30" max="30" width="7.140625" style="4" customWidth="1"/>
    <col min="31" max="31" width="4.7109375" style="4" customWidth="1"/>
    <col min="32" max="32" width="7.140625" style="4" customWidth="1"/>
    <col min="33" max="33" width="4.7109375" style="4" customWidth="1"/>
    <col min="34" max="34" width="7.140625" style="4" customWidth="1"/>
    <col min="35" max="35" width="4.7109375" style="4" customWidth="1"/>
    <col min="36" max="36" width="7.140625" style="4" customWidth="1"/>
    <col min="37" max="37" width="4.7109375" style="4" customWidth="1"/>
    <col min="38" max="38" width="7.140625" style="4" customWidth="1"/>
    <col min="39" max="39" width="4.7109375" style="4" customWidth="1"/>
    <col min="40" max="40" width="7.140625" style="4" customWidth="1"/>
    <col min="41" max="41" width="4.7109375" style="4" customWidth="1"/>
    <col min="42" max="42" width="7.140625" style="4" customWidth="1"/>
    <col min="43" max="43" width="4.7109375" style="4" customWidth="1"/>
    <col min="44" max="44" width="7.140625" style="4" customWidth="1"/>
    <col min="45" max="45" width="4.7109375" style="4" customWidth="1"/>
    <col min="46" max="46" width="7.140625" style="4" customWidth="1"/>
    <col min="47" max="47" width="4.7109375" style="4" customWidth="1"/>
    <col min="48" max="48" width="7.140625" style="4" customWidth="1"/>
    <col min="49" max="49" width="4.7109375" style="4" customWidth="1"/>
    <col min="50" max="50" width="7.140625" style="3" customWidth="1"/>
    <col min="51" max="51" width="4.7109375" style="4" customWidth="1"/>
    <col min="52" max="52" width="7.140625" style="3" customWidth="1"/>
    <col min="53" max="53" width="4.7109375" style="4" customWidth="1"/>
    <col min="54" max="54" width="7.140625" style="3" customWidth="1"/>
    <col min="55" max="55" width="4.7109375" style="4" customWidth="1"/>
    <col min="56" max="56" width="7.140625" style="3" customWidth="1"/>
    <col min="57" max="57" width="4.7109375" style="4" customWidth="1"/>
    <col min="58" max="58" width="7.140625" style="3" customWidth="1"/>
    <col min="59" max="59" width="4.7109375" style="4" customWidth="1"/>
    <col min="60" max="60" width="7.140625" style="3" customWidth="1"/>
    <col min="61" max="61" width="4.7109375" style="4" customWidth="1"/>
    <col min="62" max="62" width="7.140625" style="3" customWidth="1"/>
    <col min="63" max="63" width="4.7109375" style="4" customWidth="1"/>
    <col min="64" max="64" width="7.140625" style="3" customWidth="1"/>
    <col min="65" max="65" width="4.7109375" style="4" customWidth="1"/>
    <col min="66" max="66" width="7.140625" style="3" customWidth="1"/>
    <col min="67" max="67" width="4.7109375" style="4" customWidth="1"/>
    <col min="68" max="68" width="7.140625" style="3" customWidth="1"/>
    <col min="69" max="69" width="4.7109375" style="4" customWidth="1"/>
    <col min="70" max="16384" width="9.140625" style="3"/>
  </cols>
  <sheetData>
    <row r="1" spans="1:69" ht="16.5" thickBot="1" x14ac:dyDescent="0.3"/>
    <row r="2" spans="1:69" ht="16.5" thickBot="1" x14ac:dyDescent="0.3">
      <c r="A2" s="46" t="s">
        <v>149</v>
      </c>
      <c r="C2" s="47">
        <v>27</v>
      </c>
    </row>
    <row r="3" spans="1:69" ht="16.5" thickBot="1" x14ac:dyDescent="0.3"/>
    <row r="4" spans="1:69" ht="18.75" customHeight="1" thickBot="1" x14ac:dyDescent="0.3">
      <c r="A4" s="109" t="s">
        <v>20</v>
      </c>
      <c r="B4" s="117"/>
      <c r="C4" s="109" t="s">
        <v>21</v>
      </c>
      <c r="D4" s="118"/>
      <c r="E4" s="118"/>
      <c r="F4" s="118"/>
      <c r="G4" s="118"/>
      <c r="H4" s="119"/>
      <c r="I4" s="96" t="s">
        <v>22</v>
      </c>
      <c r="J4" s="97"/>
      <c r="K4" s="98"/>
      <c r="L4" s="99"/>
      <c r="M4" s="99"/>
      <c r="N4" s="100"/>
      <c r="O4" s="124" t="s">
        <v>23</v>
      </c>
      <c r="P4" s="123" t="s">
        <v>24</v>
      </c>
      <c r="Q4" s="124"/>
      <c r="R4" s="124"/>
      <c r="S4" s="124"/>
      <c r="T4" s="124"/>
      <c r="U4" s="125"/>
      <c r="V4" s="106" t="s">
        <v>25</v>
      </c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8"/>
    </row>
    <row r="5" spans="1:69" ht="18.75" customHeight="1" thickBot="1" x14ac:dyDescent="0.3">
      <c r="A5" s="110"/>
      <c r="B5" s="117"/>
      <c r="C5" s="120"/>
      <c r="D5" s="121"/>
      <c r="E5" s="121"/>
      <c r="F5" s="121"/>
      <c r="G5" s="121"/>
      <c r="H5" s="122"/>
      <c r="I5" s="101"/>
      <c r="J5" s="102"/>
      <c r="K5" s="103"/>
      <c r="L5" s="104"/>
      <c r="M5" s="104"/>
      <c r="N5" s="105"/>
      <c r="O5" s="129"/>
      <c r="P5" s="126"/>
      <c r="Q5" s="127"/>
      <c r="R5" s="127"/>
      <c r="S5" s="127"/>
      <c r="T5" s="127"/>
      <c r="U5" s="128"/>
      <c r="V5" s="111" t="s">
        <v>19</v>
      </c>
      <c r="W5" s="112"/>
      <c r="X5" s="112"/>
      <c r="Y5" s="112"/>
      <c r="Z5" s="112"/>
      <c r="AA5" s="113"/>
      <c r="AB5" s="114" t="s">
        <v>18</v>
      </c>
      <c r="AC5" s="115"/>
      <c r="AD5" s="115"/>
      <c r="AE5" s="115"/>
      <c r="AF5" s="115"/>
      <c r="AG5" s="116"/>
      <c r="AH5" s="114" t="s">
        <v>26</v>
      </c>
      <c r="AI5" s="115"/>
      <c r="AJ5" s="115"/>
      <c r="AK5" s="115"/>
      <c r="AL5" s="115"/>
      <c r="AM5" s="116"/>
      <c r="AN5" s="114" t="s">
        <v>27</v>
      </c>
      <c r="AO5" s="115"/>
      <c r="AP5" s="115"/>
      <c r="AQ5" s="115"/>
      <c r="AR5" s="115"/>
      <c r="AS5" s="116"/>
      <c r="AT5" s="114" t="s">
        <v>28</v>
      </c>
      <c r="AU5" s="115"/>
      <c r="AV5" s="115"/>
      <c r="AW5" s="115"/>
      <c r="AX5" s="115"/>
      <c r="AY5" s="116"/>
      <c r="AZ5" s="114" t="s">
        <v>29</v>
      </c>
      <c r="BA5" s="115"/>
      <c r="BB5" s="115"/>
      <c r="BC5" s="115"/>
      <c r="BD5" s="115"/>
      <c r="BE5" s="116"/>
      <c r="BF5" s="114" t="s">
        <v>30</v>
      </c>
      <c r="BG5" s="115"/>
      <c r="BH5" s="115"/>
      <c r="BI5" s="115"/>
      <c r="BJ5" s="115"/>
      <c r="BK5" s="116"/>
      <c r="BL5" s="96" t="s">
        <v>31</v>
      </c>
      <c r="BM5" s="98"/>
      <c r="BN5" s="98"/>
      <c r="BO5" s="99"/>
      <c r="BP5" s="99"/>
      <c r="BQ5" s="100"/>
    </row>
    <row r="6" spans="1:69" ht="103.5" customHeight="1" thickBot="1" x14ac:dyDescent="0.3">
      <c r="A6" s="110"/>
      <c r="B6" s="95"/>
      <c r="C6" s="90" t="s">
        <v>32</v>
      </c>
      <c r="D6" s="91"/>
      <c r="E6" s="90" t="s">
        <v>33</v>
      </c>
      <c r="F6" s="91"/>
      <c r="G6" s="90" t="s">
        <v>34</v>
      </c>
      <c r="H6" s="91"/>
      <c r="I6" s="90" t="s">
        <v>32</v>
      </c>
      <c r="J6" s="91"/>
      <c r="K6" s="90" t="s">
        <v>33</v>
      </c>
      <c r="L6" s="91"/>
      <c r="M6" s="90" t="s">
        <v>34</v>
      </c>
      <c r="N6" s="91"/>
      <c r="O6" s="127"/>
      <c r="P6" s="90" t="s">
        <v>32</v>
      </c>
      <c r="Q6" s="91"/>
      <c r="R6" s="90" t="s">
        <v>33</v>
      </c>
      <c r="S6" s="91"/>
      <c r="T6" s="90" t="s">
        <v>34</v>
      </c>
      <c r="U6" s="91"/>
      <c r="V6" s="95" t="s">
        <v>32</v>
      </c>
      <c r="W6" s="94"/>
      <c r="X6" s="92" t="s">
        <v>33</v>
      </c>
      <c r="Y6" s="94"/>
      <c r="Z6" s="92" t="s">
        <v>34</v>
      </c>
      <c r="AA6" s="93"/>
      <c r="AB6" s="95" t="s">
        <v>32</v>
      </c>
      <c r="AC6" s="94"/>
      <c r="AD6" s="92" t="s">
        <v>33</v>
      </c>
      <c r="AE6" s="94"/>
      <c r="AF6" s="92" t="s">
        <v>34</v>
      </c>
      <c r="AG6" s="93"/>
      <c r="AH6" s="95" t="s">
        <v>32</v>
      </c>
      <c r="AI6" s="94"/>
      <c r="AJ6" s="92" t="s">
        <v>33</v>
      </c>
      <c r="AK6" s="94"/>
      <c r="AL6" s="92" t="s">
        <v>34</v>
      </c>
      <c r="AM6" s="93"/>
      <c r="AN6" s="95" t="s">
        <v>32</v>
      </c>
      <c r="AO6" s="94"/>
      <c r="AP6" s="92" t="s">
        <v>33</v>
      </c>
      <c r="AQ6" s="94"/>
      <c r="AR6" s="92" t="s">
        <v>34</v>
      </c>
      <c r="AS6" s="93"/>
      <c r="AT6" s="95" t="s">
        <v>32</v>
      </c>
      <c r="AU6" s="94"/>
      <c r="AV6" s="92" t="s">
        <v>33</v>
      </c>
      <c r="AW6" s="94"/>
      <c r="AX6" s="92" t="s">
        <v>34</v>
      </c>
      <c r="AY6" s="93"/>
      <c r="AZ6" s="95" t="s">
        <v>32</v>
      </c>
      <c r="BA6" s="94"/>
      <c r="BB6" s="92" t="s">
        <v>33</v>
      </c>
      <c r="BC6" s="94"/>
      <c r="BD6" s="92" t="s">
        <v>34</v>
      </c>
      <c r="BE6" s="93"/>
      <c r="BF6" s="95" t="s">
        <v>32</v>
      </c>
      <c r="BG6" s="94"/>
      <c r="BH6" s="92" t="s">
        <v>33</v>
      </c>
      <c r="BI6" s="94"/>
      <c r="BJ6" s="92" t="s">
        <v>34</v>
      </c>
      <c r="BK6" s="93"/>
      <c r="BL6" s="95" t="s">
        <v>32</v>
      </c>
      <c r="BM6" s="94"/>
      <c r="BN6" s="92" t="s">
        <v>33</v>
      </c>
      <c r="BO6" s="94"/>
      <c r="BP6" s="92" t="s">
        <v>34</v>
      </c>
      <c r="BQ6" s="93"/>
    </row>
    <row r="7" spans="1:69" ht="28.5" customHeight="1" thickBot="1" x14ac:dyDescent="0.3">
      <c r="A7" s="5" t="s">
        <v>113</v>
      </c>
      <c r="B7" s="17">
        <f ca="1">IF(C2="",TEXT(TODAY(),"D"),C2)</f>
        <v>27</v>
      </c>
      <c r="C7" s="6"/>
      <c r="D7" s="23"/>
      <c r="E7" s="7"/>
      <c r="F7" s="23"/>
      <c r="G7" s="7"/>
      <c r="H7" s="26"/>
      <c r="I7" s="6"/>
      <c r="J7" s="23"/>
      <c r="K7" s="7"/>
      <c r="L7" s="23"/>
      <c r="M7" s="7"/>
      <c r="N7" s="26"/>
      <c r="O7" s="21"/>
      <c r="P7" s="6"/>
      <c r="Q7" s="23"/>
      <c r="R7" s="7"/>
      <c r="S7" s="23"/>
      <c r="T7" s="7"/>
      <c r="U7" s="26"/>
      <c r="V7" s="29" t="s">
        <v>152</v>
      </c>
      <c r="W7" s="23"/>
      <c r="X7" s="19" t="s">
        <v>153</v>
      </c>
      <c r="Y7" s="23"/>
      <c r="Z7" s="8"/>
      <c r="AA7" s="26"/>
      <c r="AB7" s="29" t="s">
        <v>154</v>
      </c>
      <c r="AC7" s="23"/>
      <c r="AD7" s="19" t="s">
        <v>155</v>
      </c>
      <c r="AE7" s="23"/>
      <c r="AF7" s="8"/>
      <c r="AG7" s="26"/>
      <c r="AH7" s="29" t="s">
        <v>156</v>
      </c>
      <c r="AI7" s="23"/>
      <c r="AJ7" s="8"/>
      <c r="AK7" s="23"/>
      <c r="AL7" s="8"/>
      <c r="AM7" s="26"/>
      <c r="AN7" s="29" t="s">
        <v>157</v>
      </c>
      <c r="AO7" s="23"/>
      <c r="AP7" s="8"/>
      <c r="AQ7" s="23"/>
      <c r="AR7" s="8"/>
      <c r="AS7" s="26"/>
      <c r="AT7" s="29" t="s">
        <v>158</v>
      </c>
      <c r="AU7" s="23"/>
      <c r="AV7" s="19" t="s">
        <v>159</v>
      </c>
      <c r="AW7" s="23"/>
      <c r="AX7" s="8"/>
      <c r="AY7" s="26"/>
      <c r="AZ7" s="29" t="s">
        <v>160</v>
      </c>
      <c r="BA7" s="23"/>
      <c r="BB7" s="8"/>
      <c r="BC7" s="23"/>
      <c r="BD7" s="8"/>
      <c r="BE7" s="26"/>
      <c r="BF7" s="29" t="s">
        <v>161</v>
      </c>
      <c r="BG7" s="23"/>
      <c r="BH7" s="8"/>
      <c r="BI7" s="23"/>
      <c r="BJ7" s="8"/>
      <c r="BK7" s="26"/>
      <c r="BL7" s="30"/>
      <c r="BM7" s="23"/>
      <c r="BN7" s="8"/>
      <c r="BO7" s="23"/>
      <c r="BP7" s="8"/>
      <c r="BQ7" s="26"/>
    </row>
    <row r="8" spans="1:69" ht="19.5" thickBot="1" x14ac:dyDescent="0.3">
      <c r="A8" s="5" t="s">
        <v>35</v>
      </c>
      <c r="B8" s="20"/>
      <c r="C8" s="6" t="e">
        <f t="shared" ref="C8:BP8" ca="1" si="0">SUM(C9:C28)</f>
        <v>#REF!</v>
      </c>
      <c r="D8" s="23" t="e">
        <f ca="1">SUM(D9:D28)</f>
        <v>#REF!</v>
      </c>
      <c r="E8" s="7" t="e">
        <f t="shared" ca="1" si="0"/>
        <v>#REF!</v>
      </c>
      <c r="F8" s="23" t="e">
        <f ca="1">SUM(F9:F28)</f>
        <v>#REF!</v>
      </c>
      <c r="G8" s="7" t="e">
        <f t="shared" ca="1" si="0"/>
        <v>#REF!</v>
      </c>
      <c r="H8" s="26" t="e">
        <f ca="1">SUM(H9:H28)</f>
        <v>#REF!</v>
      </c>
      <c r="I8" s="6" t="e">
        <f t="shared" ca="1" si="0"/>
        <v>#REF!</v>
      </c>
      <c r="J8" s="23" t="e">
        <f ca="1">SUM(J9:J28)</f>
        <v>#REF!</v>
      </c>
      <c r="K8" s="7" t="e">
        <f t="shared" ca="1" si="0"/>
        <v>#REF!</v>
      </c>
      <c r="L8" s="23" t="e">
        <f ca="1">SUM(L9:L28)</f>
        <v>#REF!</v>
      </c>
      <c r="M8" s="7" t="e">
        <f t="shared" ca="1" si="0"/>
        <v>#REF!</v>
      </c>
      <c r="N8" s="26" t="e">
        <f ca="1">SUM(N9:N28)</f>
        <v>#REF!</v>
      </c>
      <c r="O8" s="21" t="e">
        <f t="shared" ca="1" si="0"/>
        <v>#REF!</v>
      </c>
      <c r="P8" s="6" t="e">
        <f t="shared" ca="1" si="0"/>
        <v>#REF!</v>
      </c>
      <c r="Q8" s="23" t="e">
        <f ca="1">SUM(Q9:Q28)</f>
        <v>#REF!</v>
      </c>
      <c r="R8" s="7" t="e">
        <f t="shared" ca="1" si="0"/>
        <v>#REF!</v>
      </c>
      <c r="S8" s="23" t="e">
        <f ca="1">SUM(S9:S28)</f>
        <v>#REF!</v>
      </c>
      <c r="T8" s="7" t="e">
        <f t="shared" ca="1" si="0"/>
        <v>#REF!</v>
      </c>
      <c r="U8" s="26" t="e">
        <f ca="1">SUM(U9:U28)</f>
        <v>#REF!</v>
      </c>
      <c r="V8" s="30" t="e">
        <f t="shared" ca="1" si="0"/>
        <v>#REF!</v>
      </c>
      <c r="W8" s="23" t="e">
        <f ca="1">SUM(W9:W28)</f>
        <v>#REF!</v>
      </c>
      <c r="X8" s="8" t="e">
        <f t="shared" ca="1" si="0"/>
        <v>#REF!</v>
      </c>
      <c r="Y8" s="23" t="e">
        <f ca="1">SUM(Y9:Y28)</f>
        <v>#REF!</v>
      </c>
      <c r="Z8" s="8" t="e">
        <f t="shared" ca="1" si="0"/>
        <v>#REF!</v>
      </c>
      <c r="AA8" s="26" t="e">
        <f ca="1">SUM(AA9:AA28)</f>
        <v>#REF!</v>
      </c>
      <c r="AB8" s="30" t="e">
        <f t="shared" ca="1" si="0"/>
        <v>#REF!</v>
      </c>
      <c r="AC8" s="23" t="e">
        <f ca="1">SUM(AC9:AC28)</f>
        <v>#REF!</v>
      </c>
      <c r="AD8" s="8" t="e">
        <f t="shared" ca="1" si="0"/>
        <v>#REF!</v>
      </c>
      <c r="AE8" s="23" t="e">
        <f ca="1">SUM(AE9:AE28)</f>
        <v>#REF!</v>
      </c>
      <c r="AF8" s="8" t="e">
        <f t="shared" ca="1" si="0"/>
        <v>#REF!</v>
      </c>
      <c r="AG8" s="26" t="e">
        <f ca="1">SUM(AG9:AG28)</f>
        <v>#REF!</v>
      </c>
      <c r="AH8" s="30" t="e">
        <f t="shared" ca="1" si="0"/>
        <v>#REF!</v>
      </c>
      <c r="AI8" s="23" t="e">
        <f ca="1">SUM(AI9:AI28)</f>
        <v>#REF!</v>
      </c>
      <c r="AJ8" s="8" t="e">
        <f t="shared" ca="1" si="0"/>
        <v>#REF!</v>
      </c>
      <c r="AK8" s="23" t="e">
        <f ca="1">SUM(AK9:AK28)</f>
        <v>#REF!</v>
      </c>
      <c r="AL8" s="8" t="e">
        <f t="shared" ca="1" si="0"/>
        <v>#REF!</v>
      </c>
      <c r="AM8" s="26" t="e">
        <f ca="1">SUM(AM9:AM28)</f>
        <v>#REF!</v>
      </c>
      <c r="AN8" s="30" t="e">
        <f t="shared" ca="1" si="0"/>
        <v>#REF!</v>
      </c>
      <c r="AO8" s="23" t="e">
        <f ca="1">SUM(AO9:AO28)</f>
        <v>#REF!</v>
      </c>
      <c r="AP8" s="8" t="e">
        <f t="shared" ca="1" si="0"/>
        <v>#REF!</v>
      </c>
      <c r="AQ8" s="23" t="e">
        <f ca="1">SUM(AQ9:AQ28)</f>
        <v>#REF!</v>
      </c>
      <c r="AR8" s="8" t="e">
        <f t="shared" ca="1" si="0"/>
        <v>#REF!</v>
      </c>
      <c r="AS8" s="26" t="e">
        <f ca="1">SUM(AS9:AS28)</f>
        <v>#REF!</v>
      </c>
      <c r="AT8" s="30" t="e">
        <f t="shared" ca="1" si="0"/>
        <v>#REF!</v>
      </c>
      <c r="AU8" s="23" t="e">
        <f ca="1">SUM(AU9:AU28)</f>
        <v>#REF!</v>
      </c>
      <c r="AV8" s="8" t="e">
        <f t="shared" ca="1" si="0"/>
        <v>#REF!</v>
      </c>
      <c r="AW8" s="23" t="e">
        <f ca="1">SUM(AW9:AW28)</f>
        <v>#REF!</v>
      </c>
      <c r="AX8" s="8" t="e">
        <f t="shared" ca="1" si="0"/>
        <v>#REF!</v>
      </c>
      <c r="AY8" s="26" t="e">
        <f ca="1">SUM(AY9:AY28)</f>
        <v>#REF!</v>
      </c>
      <c r="AZ8" s="30" t="e">
        <f t="shared" ca="1" si="0"/>
        <v>#REF!</v>
      </c>
      <c r="BA8" s="23" t="e">
        <f ca="1">SUM(BA9:BA28)</f>
        <v>#REF!</v>
      </c>
      <c r="BB8" s="8" t="e">
        <f t="shared" ca="1" si="0"/>
        <v>#REF!</v>
      </c>
      <c r="BC8" s="23" t="e">
        <f ca="1">SUM(BC9:BC28)</f>
        <v>#REF!</v>
      </c>
      <c r="BD8" s="8" t="e">
        <f t="shared" ca="1" si="0"/>
        <v>#REF!</v>
      </c>
      <c r="BE8" s="26" t="e">
        <f ca="1">SUM(BE9:BE28)</f>
        <v>#REF!</v>
      </c>
      <c r="BF8" s="30" t="e">
        <f t="shared" ca="1" si="0"/>
        <v>#REF!</v>
      </c>
      <c r="BG8" s="23" t="e">
        <f ca="1">SUM(BG9:BG28)</f>
        <v>#REF!</v>
      </c>
      <c r="BH8" s="8" t="e">
        <f t="shared" ca="1" si="0"/>
        <v>#REF!</v>
      </c>
      <c r="BI8" s="23" t="e">
        <f ca="1">SUM(BI9:BI28)</f>
        <v>#REF!</v>
      </c>
      <c r="BJ8" s="8" t="e">
        <f t="shared" ca="1" si="0"/>
        <v>#REF!</v>
      </c>
      <c r="BK8" s="26" t="e">
        <f ca="1">SUM(BK9:BK28)</f>
        <v>#REF!</v>
      </c>
      <c r="BL8" s="30" t="e">
        <f t="shared" ca="1" si="0"/>
        <v>#REF!</v>
      </c>
      <c r="BM8" s="23" t="e">
        <f ca="1">SUM(BM9:BM28)</f>
        <v>#REF!</v>
      </c>
      <c r="BN8" s="8" t="e">
        <f t="shared" ca="1" si="0"/>
        <v>#REF!</v>
      </c>
      <c r="BO8" s="23" t="e">
        <f ca="1">SUM(BO9:BO28)</f>
        <v>#REF!</v>
      </c>
      <c r="BP8" s="8" t="e">
        <f t="shared" ca="1" si="0"/>
        <v>#REF!</v>
      </c>
      <c r="BQ8" s="26" t="e">
        <f ca="1">SUM(BQ9:BQ28)</f>
        <v>#REF!</v>
      </c>
    </row>
    <row r="9" spans="1:69" ht="18.75" x14ac:dyDescent="0.25">
      <c r="A9" s="15" t="s">
        <v>3</v>
      </c>
      <c r="B9" s="24" t="s">
        <v>114</v>
      </c>
      <c r="C9" s="12" t="e">
        <f ca="1">COUNTIFS(INDIRECT($B9&amp;"["&amp;$B$7&amp;"]"),"&lt;&gt;",INDIRECT($B9&amp;"[ШПК]"),"&lt;&gt;",INDIRECT($B9&amp;"[ПІБ]"),"&lt;&gt;")-SUM(E9,G9)</f>
        <v>#REF!</v>
      </c>
      <c r="D9" s="18" t="e">
        <f ca="1">C9-#REF!</f>
        <v>#REF!</v>
      </c>
      <c r="E9" s="13" t="e">
        <f t="shared" ref="E9:E29" ca="1" si="1">COUNTIFS(INDIRECT($B9&amp;"["&amp;$B$7&amp;"]"),"&lt;&gt;",INDIRECT($B9&amp;"[ШПК]"),"*сержант*",INDIRECT($B9&amp;"[ПІБ]"),"&lt;&gt;")</f>
        <v>#REF!</v>
      </c>
      <c r="F9" s="18" t="e">
        <f ca="1">E9-#REF!</f>
        <v>#REF!</v>
      </c>
      <c r="G9" s="13" t="e">
        <f t="shared" ref="G9:G29" ca="1" si="2">COUNTIFS(INDIRECT($B9&amp;"["&amp;$B$7&amp;"]"),"&lt;&gt;",INDIRECT($B9&amp;"[ШПК]"),"*солдат*",INDIRECT($B9&amp;"[ПІБ]"),"&lt;&gt;")+COUNTIFS(INDIRECT($B9&amp;"["&amp;$B$7&amp;"]"),"&lt;&gt;",INDIRECT($B9&amp;"[ШПК]"),"*рядовий*",INDIRECT($B9&amp;"[ПІБ]"),"&lt;&gt;")</f>
        <v>#REF!</v>
      </c>
      <c r="H9" s="27" t="e">
        <f ca="1">G9-#REF!</f>
        <v>#REF!</v>
      </c>
      <c r="I9" s="12" t="e">
        <f ca="1">C9-P9</f>
        <v>#REF!</v>
      </c>
      <c r="J9" s="18" t="e">
        <f ca="1">I9-#REF!</f>
        <v>#REF!</v>
      </c>
      <c r="K9" s="13" t="e">
        <f t="shared" ref="K9:K28" ca="1" si="3">E9-R9</f>
        <v>#REF!</v>
      </c>
      <c r="L9" s="18" t="e">
        <f ca="1">K9-#REF!</f>
        <v>#REF!</v>
      </c>
      <c r="M9" s="13" t="e">
        <f t="shared" ref="M9:M28" ca="1" si="4">G9-T9</f>
        <v>#REF!</v>
      </c>
      <c r="N9" s="27" t="e">
        <f ca="1">M9-#REF!</f>
        <v>#REF!</v>
      </c>
      <c r="O9" s="14" t="e">
        <f ca="1">COUNTIFS(INDIRECT($B9&amp;"["&amp;$B$7&amp;"]"),"+",INDIRECT($B9&amp;"[ШПК]"),"&lt;&gt;",INDIRECT($B9&amp;"[ПІБ]"),"&lt;&gt;")</f>
        <v>#REF!</v>
      </c>
      <c r="P9" s="12" t="e">
        <f ca="1">COUNTIFS(INDIRECT(B9&amp;"["&amp;$B$7&amp;"]"),"&lt;&gt;+",INDIRECT(B9&amp;"[ШПК]"),"&lt;&gt;",INDIRECT(B9&amp;"[ПІБ]"),"&lt;&gt;")-SUM(R9,T9)</f>
        <v>#REF!</v>
      </c>
      <c r="Q9" s="18" t="e">
        <f ca="1">P9-#REF!</f>
        <v>#REF!</v>
      </c>
      <c r="R9" s="13" t="e">
        <f ca="1">COUNTIFS(INDIRECT(B9&amp;"["&amp;B7&amp;"]"),"&lt;&gt;+",INDIRECT(B9&amp;"[ШПК]"),"*сержант*",INDIRECT(B9&amp;"[ПІБ]"),"&lt;&gt;")</f>
        <v>#REF!</v>
      </c>
      <c r="S9" s="18" t="e">
        <f ca="1">R9-#REF!</f>
        <v>#REF!</v>
      </c>
      <c r="T9" s="13" t="e">
        <f ca="1">COUNTIFS(INDIRECT(B9&amp;"["&amp;B7&amp;"]"),"&lt;&gt;+",INDIRECT(B9&amp;"[ШПК]"),"*солдат*",INDIRECT(B9&amp;"[ПІБ]"),"&lt;&gt;")+COUNTIFS(INDIRECT(B9&amp;"["&amp;B7&amp;"]"),"&lt;&gt;+",INDIRECT(B9&amp;"[ШПК]"),"*рядовий*",INDIRECT(B9&amp;"[ПІБ]"),"&lt;&gt;")</f>
        <v>#REF!</v>
      </c>
      <c r="U9" s="27" t="e">
        <f ca="1">T9-#REF!</f>
        <v>#REF!</v>
      </c>
      <c r="V9" s="12" t="e">
        <f ca="1">COUNTIFS(INDIRECT(B9&amp;"["&amp;$B$7&amp;"]"),$V$7,INDIRECT(B9&amp;"["&amp;$B$7&amp;"]"),"&lt;&gt;",INDIRECT(B9&amp;"[ШПК]"),"&lt;&gt;",INDIRECT(B9&amp;"[ПІБ]"),"&lt;&gt;")+COUNTIFS(INDIRECT(B9&amp;"["&amp;$B$7&amp;"]"),$X$7,INDIRECT(B9&amp;"["&amp;$B$7&amp;"]"),"&lt;&gt;",INDIRECT(B9&amp;"[ШПК]"),"&lt;&gt;",INDIRECT(B9&amp;"[ПІБ]"),"&lt;&gt;")-SUM(X9,Z9)</f>
        <v>#REF!</v>
      </c>
      <c r="W9" s="45" t="e">
        <f ca="1">V9-#REF!</f>
        <v>#REF!</v>
      </c>
      <c r="X9" s="13" t="e">
        <f ca="1">COUNTIFS(INDIRECT(B9&amp;"["&amp;B7&amp;"]"),V7,INDIRECT(B9&amp;"[ШПК]"),"*сержант*",INDIRECT(B9&amp;"[ПІБ]"),"&lt;&gt;")+COUNTIFS(INDIRECT(B9&amp;"["&amp;B7&amp;"]"),X7,INDIRECT(B9&amp;"[ШПК]"),"*сержант*",INDIRECT(B9&amp;"[ПІБ]"),"&lt;&gt;")</f>
        <v>#REF!</v>
      </c>
      <c r="Y9" s="18" t="e">
        <f ca="1">X9-#REF!</f>
        <v>#REF!</v>
      </c>
      <c r="Z9" s="13" t="e">
        <f t="shared" ref="Z9:Z29" ca="1" si="5">COUNTIFS(INDIRECT($B9&amp;"["&amp;$B$7&amp;"]"),$V$7,INDIRECT($B9&amp;"[ШПК]"),"*солдат*",INDIRECT($B9&amp;"[ПІБ]"),"&lt;&gt;")+COUNTIFS(INDIRECT($B9&amp;"["&amp;$B$7&amp;"]"),$V$7,INDIRECT($B9&amp;"[ШПК]"),"*рядовий*",INDIRECT($B9&amp;"[ПІБ]"),"&lt;&gt;")+COUNTIFS(INDIRECT($B9&amp;"["&amp;$B$7&amp;"]"),$X$7,INDIRECT($B9&amp;"[ШПК]"),"*солдат*",INDIRECT($B9&amp;"[ПІБ]"),"&lt;&gt;")+COUNTIFS(INDIRECT($B9&amp;"["&amp;$B$7&amp;"]"),$X$7,INDIRECT($B9&amp;"[ШПК]"),"*рядовий*",INDIRECT($B9&amp;"[ПІБ]"),"&lt;&gt;")</f>
        <v>#REF!</v>
      </c>
      <c r="AA9" s="27" t="e">
        <f ca="1">Z9-#REF!</f>
        <v>#REF!</v>
      </c>
      <c r="AB9" s="12" t="e">
        <f ca="1">COUNTIFS(INDIRECT(B9&amp;"["&amp;$B$7&amp;"]"),$AB$7,INDIRECT($B9&amp;"["&amp;$B$7&amp;"]"),"&lt;&gt;",INDIRECT($B9&amp;"[ШПК]"),"&lt;&gt;",INDIRECT($B9&amp;"[ПІБ]"),"&lt;&gt;")+COUNTIFS(INDIRECT(B9&amp;"["&amp;$B$7&amp;"]"),$AD$7,INDIRECT($B9&amp;"["&amp;$B$7&amp;"]"),"&lt;&gt;",INDIRECT($B9&amp;"[ШПК]"),"&lt;&gt;",INDIRECT($B9&amp;"[ПІБ]"),"&lt;&gt;")-SUM(AD9,AF9)</f>
        <v>#REF!</v>
      </c>
      <c r="AC9" s="18" t="e">
        <f ca="1">AB9-#REF!</f>
        <v>#REF!</v>
      </c>
      <c r="AD9" s="13" t="e">
        <f t="shared" ref="AD9:AD29" ca="1" si="6">COUNTIFS(INDIRECT($B9&amp;"["&amp;$B$7&amp;"]"),$AB$7,INDIRECT($B9&amp;"[ШПК]"),"*сержант*",INDIRECT($B9&amp;"[ПІБ]"),"&lt;&gt;")+COUNTIFS(INDIRECT($B9&amp;"["&amp;$B$7&amp;"]"),$AD$7,INDIRECT($B9&amp;"[ШПК]"),"*сержант*",INDIRECT($B9&amp;"[ПІБ]"),"&lt;&gt;")</f>
        <v>#REF!</v>
      </c>
      <c r="AE9" s="18" t="e">
        <f ca="1">AD9-#REF!</f>
        <v>#REF!</v>
      </c>
      <c r="AF9" s="13" t="e">
        <f t="shared" ref="AF9:AF29" ca="1" si="7">COUNTIFS(INDIRECT($B9&amp;"["&amp;$B$7&amp;"]"),$AB$7,INDIRECT($B9&amp;"[ШПК]"),"*солдат*",INDIRECT($B9&amp;"[ПІБ]"),"&lt;&gt;")+COUNTIFS(INDIRECT($B9&amp;"["&amp;$B$7&amp;"]"),$AB$7,INDIRECT($B9&amp;"[ШПК]"),"*рядовий*",INDIRECT($B9&amp;"[ПІБ]"),"&lt;&gt;")+COUNTIFS(INDIRECT($B9&amp;"["&amp;$B$7&amp;"]"),$AD$7,INDIRECT($B9&amp;"[ШПК]"),"*солдат*",INDIRECT($B9&amp;"[ПІБ]"),"&lt;&gt;")+COUNTIFS(INDIRECT($B9&amp;"["&amp;$B$7&amp;"]"),$AD$7,INDIRECT($B9&amp;"[ШПК]"),"*рядовий*",INDIRECT($B9&amp;"[ПІБ]"),"&lt;&gt;")</f>
        <v>#REF!</v>
      </c>
      <c r="AG9" s="27" t="e">
        <f ca="1">AF9-#REF!</f>
        <v>#REF!</v>
      </c>
      <c r="AH9" s="12" t="e">
        <f ca="1">COUNTIFS(INDIRECT(B9&amp;"["&amp;$B$7&amp;"]"),$AH$7,INDIRECT($B9&amp;"["&amp;$B$7&amp;"]"),"&lt;&gt;",INDIRECT($B9&amp;"[ШПК]"),"&lt;&gt;",INDIRECT($B9&amp;"[ПІБ]"),"&lt;&gt;")-SUM(AJ9,AL9)</f>
        <v>#REF!</v>
      </c>
      <c r="AI9" s="18" t="e">
        <f ca="1">AH9-#REF!</f>
        <v>#REF!</v>
      </c>
      <c r="AJ9" s="13" t="e">
        <f t="shared" ref="AJ9:AJ29" ca="1" si="8">COUNTIFS(INDIRECT($B9&amp;"["&amp;$B$7&amp;"]"),$AH$7,INDIRECT($B9&amp;"[ШПК]"),"*сержант*",INDIRECT($B9&amp;"[ПІБ]"),"&lt;&gt;")</f>
        <v>#REF!</v>
      </c>
      <c r="AK9" s="18" t="e">
        <f ca="1">AJ9-#REF!</f>
        <v>#REF!</v>
      </c>
      <c r="AL9" s="13" t="e">
        <f t="shared" ref="AL9:AL29" ca="1" si="9">COUNTIFS(INDIRECT($B9&amp;"["&amp;$B$7&amp;"]"),$AH$7,INDIRECT($B9&amp;"[ШПК]"),"*солдат*",INDIRECT($B9&amp;"[ПІБ]"),"&lt;&gt;")+COUNTIFS(INDIRECT($B9&amp;"["&amp;$B$7&amp;"]"),$AH$7,INDIRECT($B9&amp;"[ШПК]"),"*рядовий*",INDIRECT($B9&amp;"[ПІБ]"),"&lt;&gt;")</f>
        <v>#REF!</v>
      </c>
      <c r="AM9" s="27" t="e">
        <f ca="1">AL9-#REF!</f>
        <v>#REF!</v>
      </c>
      <c r="AN9" s="12" t="e">
        <f ca="1">COUNTIFS(INDIRECT(B9&amp;"["&amp;$B$7&amp;"]"),$AN$7,INDIRECT($B9&amp;"["&amp;$B$7&amp;"]"),"&lt;&gt;",INDIRECT($B9&amp;"[ШПК]"),"&lt;&gt;",INDIRECT($B9&amp;"[ПІБ]"),"&lt;&gt;")-SUM(AP9,AR9)</f>
        <v>#REF!</v>
      </c>
      <c r="AO9" s="18" t="e">
        <f ca="1">AN9-#REF!</f>
        <v>#REF!</v>
      </c>
      <c r="AP9" s="13" t="e">
        <f t="shared" ref="AP9:AP29" ca="1" si="10">COUNTIFS(INDIRECT($B9&amp;"["&amp;$B$7&amp;"]"),$AN$7,INDIRECT($B9&amp;"[ШПК]"),"*сержант*",INDIRECT($B9&amp;"[ПІБ]"),"&lt;&gt;")</f>
        <v>#REF!</v>
      </c>
      <c r="AQ9" s="18" t="e">
        <f ca="1">AP9-#REF!</f>
        <v>#REF!</v>
      </c>
      <c r="AR9" s="13" t="e">
        <f t="shared" ref="AR9:AR29" ca="1" si="11">COUNTIFS(INDIRECT($B9&amp;"["&amp;$B$7&amp;"]"),$AN$7,INDIRECT($B9&amp;"[ШПК]"),"*солдат*",INDIRECT($B9&amp;"[ПІБ]"),"&lt;&gt;")+COUNTIFS(INDIRECT($B9&amp;"["&amp;$B$7&amp;"]"),$AN$7,INDIRECT($B9&amp;"[ШПК]"),"*рядовий*",INDIRECT($B9&amp;"[ПІБ]"),"&lt;&gt;")</f>
        <v>#REF!</v>
      </c>
      <c r="AS9" s="27" t="e">
        <f ca="1">AR9-#REF!</f>
        <v>#REF!</v>
      </c>
      <c r="AT9" s="12" t="e">
        <f ca="1">COUNTIFS(INDIRECT(B9&amp;"["&amp;$B$7&amp;"]"),$AT$7,INDIRECT($B9&amp;"["&amp;$B$7&amp;"]"),"&lt;&gt;",INDIRECT($B9&amp;"[ШПК]"),"&lt;&gt;",INDIRECT($B9&amp;"[ПІБ]"),"&lt;&gt;")+COUNTIFS(INDIRECT(B9&amp;"["&amp;$B$7&amp;"]"),$AV$7,INDIRECT($B9&amp;"["&amp;$B$7&amp;"]"),"&lt;&gt;",INDIRECT($B9&amp;"[ШПК]"),"&lt;&gt;",INDIRECT($B9&amp;"[ПІБ]"),"&lt;&gt;")-SUM(AV9,AX9)</f>
        <v>#REF!</v>
      </c>
      <c r="AU9" s="18" t="e">
        <f ca="1">AT9-#REF!</f>
        <v>#REF!</v>
      </c>
      <c r="AV9" s="13" t="e">
        <f t="shared" ref="AV9:AV29" ca="1" si="12">COUNTIFS(INDIRECT($B9&amp;"["&amp;$B$7&amp;"]"),$AT$7,INDIRECT($B9&amp;"[ШПК]"),"*сержант*",INDIRECT($B9&amp;"[ПІБ]"),"&lt;&gt;")+COUNTIFS(INDIRECT($B9&amp;"["&amp;$B$7&amp;"]"),$AV$7,INDIRECT($B9&amp;"[ШПК]"),"*сержант*",INDIRECT($B9&amp;"[ПІБ]"),"&lt;&gt;")</f>
        <v>#REF!</v>
      </c>
      <c r="AW9" s="18" t="e">
        <f ca="1">AV9-#REF!</f>
        <v>#REF!</v>
      </c>
      <c r="AX9" s="13" t="e">
        <f t="shared" ref="AX9:AX29" ca="1" si="13">COUNTIFS(INDIRECT($B9&amp;"["&amp;$B$7&amp;"]"),$AT$7,INDIRECT($B9&amp;"[ШПК]"),"*солдат*",INDIRECT($B9&amp;"[ПІБ]"),"&lt;&gt;")+COUNTIFS(INDIRECT($B9&amp;"["&amp;$B$7&amp;"]"),$AT$7,INDIRECT($B9&amp;"[ШПК]"),"*рядовий*",INDIRECT($B9&amp;"[ПІБ]"),"&lt;&gt;")+COUNTIFS(INDIRECT($B9&amp;"["&amp;$B$7&amp;"]"),$AV$7,INDIRECT($B9&amp;"[ШПК]"),"*солдат*",INDIRECT($B9&amp;"[ПІБ]"),"&lt;&gt;")+COUNTIFS(INDIRECT($B9&amp;"["&amp;$B$7&amp;"]"),$AV$7,INDIRECT($B9&amp;"[ШПК]"),"*рядовий*",INDIRECT($B9&amp;"[ПІБ]"),"&lt;&gt;")</f>
        <v>#REF!</v>
      </c>
      <c r="AY9" s="27" t="e">
        <f ca="1">AX9-#REF!</f>
        <v>#REF!</v>
      </c>
      <c r="AZ9" s="12" t="e">
        <f ca="1">COUNTIFS(INDIRECT(B9&amp;"["&amp;$B$7&amp;"]"),$AZ$7,INDIRECT($B9&amp;"["&amp;$B$7&amp;"]"),"&lt;&gt;",INDIRECT($B9&amp;"[ШПК]"),"&lt;&gt;",INDIRECT($B9&amp;"[ПІБ]"),"&lt;&gt;")-SUM(BB9,BD9)</f>
        <v>#REF!</v>
      </c>
      <c r="BA9" s="18" t="e">
        <f ca="1">AZ9-#REF!</f>
        <v>#REF!</v>
      </c>
      <c r="BB9" s="13" t="e">
        <f t="shared" ref="BB9:BB29" ca="1" si="14">COUNTIFS(INDIRECT($B9&amp;"["&amp;$B$7&amp;"]"),$AZ$7,INDIRECT($B9&amp;"[ШПК]"),"*сержант*",INDIRECT($B9&amp;"[ПІБ]"),"&lt;&gt;")</f>
        <v>#REF!</v>
      </c>
      <c r="BC9" s="18" t="e">
        <f ca="1">BB9-#REF!</f>
        <v>#REF!</v>
      </c>
      <c r="BD9" s="13" t="e">
        <f t="shared" ref="BD9:BD29" ca="1" si="15">COUNTIFS(INDIRECT($B9&amp;"["&amp;$B$7&amp;"]"),$AZ$7,INDIRECT($B9&amp;"[ШПК]"),"*солдат*",INDIRECT($B9&amp;"[ПІБ]"),"&lt;&gt;")+COUNTIFS(INDIRECT($B9&amp;"["&amp;$B$7&amp;"]"),$AZ$7,INDIRECT($B9&amp;"[ШПК]"),"*рядовий*",INDIRECT($B9&amp;"[ПІБ]"),"&lt;&gt;")</f>
        <v>#REF!</v>
      </c>
      <c r="BE9" s="27" t="e">
        <f ca="1">BD9-#REF!</f>
        <v>#REF!</v>
      </c>
      <c r="BF9" s="12" t="e">
        <f ca="1">COUNTIFS(INDIRECT(B9&amp;"["&amp;$B$7&amp;"]"),$BF$7,INDIRECT($B9&amp;"["&amp;$B$7&amp;"]"),"&lt;&gt;",INDIRECT($B9&amp;"[ШПК]"),"&lt;&gt;",INDIRECT($B9&amp;"[ПІБ]"),"&lt;&gt;")-SUM(BH9,BJ9)</f>
        <v>#REF!</v>
      </c>
      <c r="BG9" s="18" t="e">
        <f ca="1">BF9-#REF!</f>
        <v>#REF!</v>
      </c>
      <c r="BH9" s="13" t="e">
        <f t="shared" ref="BH9:BH29" ca="1" si="16">COUNTIFS(INDIRECT($B9&amp;"["&amp;$B$7&amp;"]"),$BF$7,INDIRECT($B9&amp;"[ШПК]"),"*сержант*",INDIRECT($B9&amp;"[ПІБ]"),"&lt;&gt;")</f>
        <v>#REF!</v>
      </c>
      <c r="BI9" s="18" t="e">
        <f ca="1">BH9-#REF!</f>
        <v>#REF!</v>
      </c>
      <c r="BJ9" s="13" t="e">
        <f t="shared" ref="BJ9:BJ29" ca="1" si="17">COUNTIFS(INDIRECT($B9&amp;"["&amp;$B$7&amp;"]"),$BF$7,INDIRECT($B9&amp;"[ШПК]"),"*солдат*",INDIRECT($B9&amp;"[ПІБ]"),"&lt;&gt;")+COUNTIFS(INDIRECT($B9&amp;"["&amp;$B$7&amp;"]"),$BF$7,INDIRECT($B9&amp;"[ШПК]"),"*рядовий*",INDIRECT($B9&amp;"[ПІБ]"),"&lt;&gt;")</f>
        <v>#REF!</v>
      </c>
      <c r="BK9" s="27" t="e">
        <f ca="1">BJ9-#REF!</f>
        <v>#REF!</v>
      </c>
      <c r="BL9" s="12" t="e">
        <f t="shared" ref="BL9:BN28" ca="1" si="18">P9-SUM(V9,AB9,AH9,AN9,AT9,AZ9,BF9)</f>
        <v>#REF!</v>
      </c>
      <c r="BM9" s="18" t="e">
        <f ca="1">BL9-#REF!</f>
        <v>#REF!</v>
      </c>
      <c r="BN9" s="13" t="e">
        <f t="shared" ca="1" si="18"/>
        <v>#REF!</v>
      </c>
      <c r="BO9" s="18" t="e">
        <f ca="1">BN9-#REF!</f>
        <v>#REF!</v>
      </c>
      <c r="BP9" s="13" t="e">
        <f t="shared" ref="BP9:BP15" ca="1" si="19">T9-SUM(Z9,AF9,AL9,AR9,AX9,BD9,BJ9)</f>
        <v>#REF!</v>
      </c>
      <c r="BQ9" s="28" t="e">
        <f ca="1">BP9-#REF!</f>
        <v>#REF!</v>
      </c>
    </row>
    <row r="10" spans="1:69" ht="18.75" x14ac:dyDescent="0.25">
      <c r="A10" s="15" t="s">
        <v>96</v>
      </c>
      <c r="B10" s="24" t="s">
        <v>115</v>
      </c>
      <c r="C10" s="12" t="e">
        <f t="shared" ref="C10:C28" ca="1" si="20">COUNTIFS(INDIRECT($B10&amp;"["&amp;$B$7&amp;"]"),"&lt;&gt;",INDIRECT($B10&amp;"[ШПК]"),"&lt;&gt;",INDIRECT($B10&amp;"[ПІБ]"),"&lt;&gt;")-SUM(E10,G10)</f>
        <v>#REF!</v>
      </c>
      <c r="D10" s="18" t="e">
        <f ca="1">C10-#REF!</f>
        <v>#REF!</v>
      </c>
      <c r="E10" s="13" t="e">
        <f t="shared" ca="1" si="1"/>
        <v>#REF!</v>
      </c>
      <c r="F10" s="18" t="e">
        <f ca="1">E10-#REF!</f>
        <v>#REF!</v>
      </c>
      <c r="G10" s="13" t="e">
        <f t="shared" ca="1" si="2"/>
        <v>#REF!</v>
      </c>
      <c r="H10" s="27" t="e">
        <f ca="1">G10-#REF!</f>
        <v>#REF!</v>
      </c>
      <c r="I10" s="12" t="e">
        <f t="shared" ref="I10:I29" ca="1" si="21">C10-P10</f>
        <v>#REF!</v>
      </c>
      <c r="J10" s="18" t="e">
        <f ca="1">I10-#REF!</f>
        <v>#REF!</v>
      </c>
      <c r="K10" s="13" t="e">
        <f t="shared" ca="1" si="3"/>
        <v>#REF!</v>
      </c>
      <c r="L10" s="18" t="e">
        <f ca="1">K10-#REF!</f>
        <v>#REF!</v>
      </c>
      <c r="M10" s="13" t="e">
        <f t="shared" ca="1" si="4"/>
        <v>#REF!</v>
      </c>
      <c r="N10" s="27" t="e">
        <f ca="1">M10-#REF!</f>
        <v>#REF!</v>
      </c>
      <c r="O10" s="14" t="e">
        <f t="shared" ref="O10:O29" ca="1" si="22">COUNTIFS(INDIRECT($B10&amp;"["&amp;$B$7&amp;"]"),"+",INDIRECT($B10&amp;"[ШПК]"),"&lt;&gt;",INDIRECT($B10&amp;"[ПІБ]"),"&lt;&gt;")</f>
        <v>#REF!</v>
      </c>
      <c r="P10" s="12" t="e">
        <f t="shared" ref="P10:P29" ca="1" si="23">COUNTIFS(INDIRECT(B10&amp;"["&amp;$B$7&amp;"]"),"&lt;&gt;+",INDIRECT(B10&amp;"[ШПК]"),"&lt;&gt;",INDIRECT(B10&amp;"[ПІБ]"),"&lt;&gt;")-SUM(R10,T10)</f>
        <v>#REF!</v>
      </c>
      <c r="Q10" s="18" t="e">
        <f ca="1">P10-#REF!</f>
        <v>#REF!</v>
      </c>
      <c r="R10" s="13" t="e">
        <f t="shared" ref="R10:R29" ca="1" si="24">COUNTIFS(INDIRECT($B10&amp;"["&amp;$B$7&amp;"]"),"&lt;&gt;+",INDIRECT($B10&amp;"[ШПК]"),"*сержант*",INDIRECT($B10&amp;"[ПІБ]"),"&lt;&gt;")</f>
        <v>#REF!</v>
      </c>
      <c r="S10" s="18" t="e">
        <f ca="1">R10-#REF!</f>
        <v>#REF!</v>
      </c>
      <c r="T10" s="13" t="e">
        <f t="shared" ref="T10:T29" ca="1" si="25">COUNTIFS(INDIRECT($B10&amp;"["&amp;$B$7&amp;"]"),"&lt;&gt;+",INDIRECT($B10&amp;"[ШПК]"),"*солдат*",INDIRECT($B10&amp;"[ПІБ]"),"&lt;&gt;")+COUNTIFS(INDIRECT($B10&amp;"["&amp;$B$7&amp;"]"),"&lt;&gt;+",INDIRECT($B10&amp;"[ШПК]"),"*рядовий*",INDIRECT($B10&amp;"[ПІБ]"),"&lt;&gt;")</f>
        <v>#REF!</v>
      </c>
      <c r="U10" s="27" t="e">
        <f ca="1">T10-#REF!</f>
        <v>#REF!</v>
      </c>
      <c r="V10" s="12" t="e">
        <f t="shared" ref="V10:V29" ca="1" si="26">COUNTIFS(INDIRECT(B10&amp;"["&amp;$B$7&amp;"]"),$V$7,INDIRECT(B10&amp;"["&amp;$B$7&amp;"]"),"&lt;&gt;",INDIRECT(B10&amp;"[ШПК]"),"&lt;&gt;",INDIRECT(B10&amp;"[ПІБ]"),"&lt;&gt;")+COUNTIFS(INDIRECT(B10&amp;"["&amp;$B$7&amp;"]"),$X$7,INDIRECT(B10&amp;"["&amp;$B$7&amp;"]"),"&lt;&gt;",INDIRECT(B10&amp;"[ШПК]"),"&lt;&gt;",INDIRECT(B10&amp;"[ПІБ]"),"&lt;&gt;")-SUM(X10,Z10)</f>
        <v>#REF!</v>
      </c>
      <c r="W10" s="18" t="e">
        <f ca="1">V10-#REF!</f>
        <v>#REF!</v>
      </c>
      <c r="X10" s="13" t="e">
        <f t="shared" ref="X10:X29" ca="1" si="27">COUNTIFS(INDIRECT($B10&amp;"["&amp;$B$7&amp;"]"),$V$7,INDIRECT($B10&amp;"[ШПК]"),"*сержант*",INDIRECT($B10&amp;"[ПІБ]"),"&lt;&gt;")+COUNTIFS(INDIRECT($B10&amp;"["&amp;$B$7&amp;"]"),$X$7,INDIRECT($B10&amp;"[ШПК]"),"*сержант*",INDIRECT($B10&amp;"[ПІБ]"),"&lt;&gt;")</f>
        <v>#REF!</v>
      </c>
      <c r="Y10" s="18" t="e">
        <f ca="1">X10-#REF!</f>
        <v>#REF!</v>
      </c>
      <c r="Z10" s="13" t="e">
        <f t="shared" ca="1" si="5"/>
        <v>#REF!</v>
      </c>
      <c r="AA10" s="27" t="e">
        <f ca="1">Z10-#REF!</f>
        <v>#REF!</v>
      </c>
      <c r="AB10" s="12" t="e">
        <f t="shared" ref="AB10:AB29" ca="1" si="28">COUNTIFS(INDIRECT(B10&amp;"["&amp;$B$7&amp;"]"),$AB$7,INDIRECT($B10&amp;"["&amp;$B$7&amp;"]"),"&lt;&gt;",INDIRECT($B10&amp;"[ШПК]"),"&lt;&gt;",INDIRECT($B10&amp;"[ПІБ]"),"&lt;&gt;")+COUNTIFS(INDIRECT(B10&amp;"["&amp;$B$7&amp;"]"),$AD$7,INDIRECT($B10&amp;"["&amp;$B$7&amp;"]"),"&lt;&gt;",INDIRECT($B10&amp;"[ШПК]"),"&lt;&gt;",INDIRECT($B10&amp;"[ПІБ]"),"&lt;&gt;")-SUM(AD10,AF10)</f>
        <v>#REF!</v>
      </c>
      <c r="AC10" s="18" t="e">
        <f ca="1">AB10-#REF!</f>
        <v>#REF!</v>
      </c>
      <c r="AD10" s="13" t="e">
        <f t="shared" ca="1" si="6"/>
        <v>#REF!</v>
      </c>
      <c r="AE10" s="18" t="e">
        <f ca="1">AD10-#REF!</f>
        <v>#REF!</v>
      </c>
      <c r="AF10" s="13" t="e">
        <f t="shared" ca="1" si="7"/>
        <v>#REF!</v>
      </c>
      <c r="AG10" s="27" t="e">
        <f ca="1">AF10-#REF!</f>
        <v>#REF!</v>
      </c>
      <c r="AH10" s="12" t="e">
        <f t="shared" ref="AH10:AH29" ca="1" si="29">COUNTIFS(INDIRECT(B10&amp;"["&amp;$B$7&amp;"]"),$AH$7,INDIRECT($B10&amp;"["&amp;$B$7&amp;"]"),"&lt;&gt;",INDIRECT($B10&amp;"[ШПК]"),"&lt;&gt;",INDIRECT($B10&amp;"[ПІБ]"),"&lt;&gt;")-SUM(AJ10,AL10)</f>
        <v>#REF!</v>
      </c>
      <c r="AI10" s="18" t="e">
        <f ca="1">AH10-#REF!</f>
        <v>#REF!</v>
      </c>
      <c r="AJ10" s="13" t="e">
        <f t="shared" ca="1" si="8"/>
        <v>#REF!</v>
      </c>
      <c r="AK10" s="18" t="e">
        <f ca="1">AJ10-#REF!</f>
        <v>#REF!</v>
      </c>
      <c r="AL10" s="13" t="e">
        <f t="shared" ca="1" si="9"/>
        <v>#REF!</v>
      </c>
      <c r="AM10" s="27" t="e">
        <f ca="1">AL10-#REF!</f>
        <v>#REF!</v>
      </c>
      <c r="AN10" s="12" t="e">
        <f t="shared" ref="AN10:AN29" ca="1" si="30">COUNTIFS(INDIRECT(B10&amp;"["&amp;$B$7&amp;"]"),$AN$7,INDIRECT($B10&amp;"["&amp;$B$7&amp;"]"),"&lt;&gt;",INDIRECT($B10&amp;"[ШПК]"),"&lt;&gt;",INDIRECT($B10&amp;"[ПІБ]"),"&lt;&gt;")-SUM(AP10,AR10)</f>
        <v>#REF!</v>
      </c>
      <c r="AO10" s="18" t="e">
        <f ca="1">AN10-#REF!</f>
        <v>#REF!</v>
      </c>
      <c r="AP10" s="13" t="e">
        <f t="shared" ca="1" si="10"/>
        <v>#REF!</v>
      </c>
      <c r="AQ10" s="18" t="e">
        <f ca="1">AP10-#REF!</f>
        <v>#REF!</v>
      </c>
      <c r="AR10" s="13" t="e">
        <f t="shared" ca="1" si="11"/>
        <v>#REF!</v>
      </c>
      <c r="AS10" s="27" t="e">
        <f ca="1">AR10-#REF!</f>
        <v>#REF!</v>
      </c>
      <c r="AT10" s="12" t="e">
        <f t="shared" ref="AT10:AT29" ca="1" si="31">COUNTIFS(INDIRECT(B10&amp;"["&amp;$B$7&amp;"]"),$AT$7,INDIRECT($B10&amp;"["&amp;$B$7&amp;"]"),"&lt;&gt;",INDIRECT($B10&amp;"[ШПК]"),"&lt;&gt;",INDIRECT($B10&amp;"[ПІБ]"),"&lt;&gt;")+COUNTIFS(INDIRECT(B10&amp;"["&amp;$B$7&amp;"]"),$AV$7,INDIRECT($B10&amp;"["&amp;$B$7&amp;"]"),"&lt;&gt;",INDIRECT($B10&amp;"[ШПК]"),"&lt;&gt;",INDIRECT($B10&amp;"[ПІБ]"),"&lt;&gt;")-SUM(AV10,AX10)</f>
        <v>#REF!</v>
      </c>
      <c r="AU10" s="18" t="e">
        <f ca="1">AT10-#REF!</f>
        <v>#REF!</v>
      </c>
      <c r="AV10" s="13" t="e">
        <f t="shared" ca="1" si="12"/>
        <v>#REF!</v>
      </c>
      <c r="AW10" s="18" t="e">
        <f ca="1">AV10-#REF!</f>
        <v>#REF!</v>
      </c>
      <c r="AX10" s="13" t="e">
        <f t="shared" ca="1" si="13"/>
        <v>#REF!</v>
      </c>
      <c r="AY10" s="27" t="e">
        <f ca="1">AX10-#REF!</f>
        <v>#REF!</v>
      </c>
      <c r="AZ10" s="12" t="e">
        <f t="shared" ref="AZ10:AZ29" ca="1" si="32">COUNTIFS(INDIRECT(B10&amp;"["&amp;$B$7&amp;"]"),$AZ$7,INDIRECT($B10&amp;"["&amp;$B$7&amp;"]"),"&lt;&gt;",INDIRECT($B10&amp;"[ШПК]"),"&lt;&gt;",INDIRECT($B10&amp;"[ПІБ]"),"&lt;&gt;")-SUM(BB10,BD10)</f>
        <v>#REF!</v>
      </c>
      <c r="BA10" s="18" t="e">
        <f ca="1">AZ10-#REF!</f>
        <v>#REF!</v>
      </c>
      <c r="BB10" s="13" t="e">
        <f t="shared" ca="1" si="14"/>
        <v>#REF!</v>
      </c>
      <c r="BC10" s="18" t="e">
        <f ca="1">BB10-#REF!</f>
        <v>#REF!</v>
      </c>
      <c r="BD10" s="13" t="e">
        <f t="shared" ca="1" si="15"/>
        <v>#REF!</v>
      </c>
      <c r="BE10" s="27" t="e">
        <f ca="1">BD10-#REF!</f>
        <v>#REF!</v>
      </c>
      <c r="BF10" s="12" t="e">
        <f t="shared" ref="BF10:BF29" ca="1" si="33">COUNTIFS(INDIRECT(B10&amp;"["&amp;$B$7&amp;"]"),$BF$7,INDIRECT($B10&amp;"["&amp;$B$7&amp;"]"),"&lt;&gt;",INDIRECT($B10&amp;"[ШПК]"),"&lt;&gt;",INDIRECT($B10&amp;"[ПІБ]"),"&lt;&gt;")-SUM(BH10,BJ10)</f>
        <v>#REF!</v>
      </c>
      <c r="BG10" s="18" t="e">
        <f ca="1">BF10-#REF!</f>
        <v>#REF!</v>
      </c>
      <c r="BH10" s="13" t="e">
        <f t="shared" ca="1" si="16"/>
        <v>#REF!</v>
      </c>
      <c r="BI10" s="18" t="e">
        <f ca="1">BH10-#REF!</f>
        <v>#REF!</v>
      </c>
      <c r="BJ10" s="13" t="e">
        <f t="shared" ca="1" si="17"/>
        <v>#REF!</v>
      </c>
      <c r="BK10" s="27" t="e">
        <f ca="1">BJ10-#REF!</f>
        <v>#REF!</v>
      </c>
      <c r="BL10" s="12" t="e">
        <f t="shared" ca="1" si="18"/>
        <v>#REF!</v>
      </c>
      <c r="BM10" s="18" t="e">
        <f ca="1">BL10-#REF!</f>
        <v>#REF!</v>
      </c>
      <c r="BN10" s="13" t="e">
        <f t="shared" ca="1" si="18"/>
        <v>#REF!</v>
      </c>
      <c r="BO10" s="18" t="e">
        <f ca="1">BN10-#REF!</f>
        <v>#REF!</v>
      </c>
      <c r="BP10" s="13" t="e">
        <f t="shared" ca="1" si="19"/>
        <v>#REF!</v>
      </c>
      <c r="BQ10" s="28" t="e">
        <f ca="1">BP10-#REF!</f>
        <v>#REF!</v>
      </c>
    </row>
    <row r="11" spans="1:69" ht="18.75" x14ac:dyDescent="0.25">
      <c r="A11" s="15" t="s">
        <v>150</v>
      </c>
      <c r="B11" s="24" t="s">
        <v>151</v>
      </c>
      <c r="C11" s="12" t="e">
        <f ca="1">COUNTIFS(INDIRECT($B11&amp;"["&amp;$B$7&amp;"]"),"&lt;&gt;",INDIRECT($B11&amp;"[ШПК]"),"&lt;&gt;",INDIRECT($B11&amp;"[ПІБ]"),"&lt;&gt;")-SUM(E11,G11)</f>
        <v>#REF!</v>
      </c>
      <c r="D11" s="18" t="e">
        <f ca="1">C11-#REF!</f>
        <v>#REF!</v>
      </c>
      <c r="E11" s="13" t="e">
        <f t="shared" ca="1" si="1"/>
        <v>#REF!</v>
      </c>
      <c r="F11" s="18" t="e">
        <f ca="1">E11-#REF!</f>
        <v>#REF!</v>
      </c>
      <c r="G11" s="13" t="e">
        <f t="shared" ca="1" si="2"/>
        <v>#REF!</v>
      </c>
      <c r="H11" s="27" t="e">
        <f ca="1">G11-#REF!</f>
        <v>#REF!</v>
      </c>
      <c r="I11" s="12" t="e">
        <f t="shared" ca="1" si="21"/>
        <v>#REF!</v>
      </c>
      <c r="J11" s="18" t="e">
        <f ca="1">I11-#REF!</f>
        <v>#REF!</v>
      </c>
      <c r="K11" s="13" t="e">
        <f ca="1">E11-R11</f>
        <v>#REF!</v>
      </c>
      <c r="L11" s="18" t="e">
        <f ca="1">K11-#REF!</f>
        <v>#REF!</v>
      </c>
      <c r="M11" s="13" t="e">
        <f ca="1">G11-T11</f>
        <v>#REF!</v>
      </c>
      <c r="N11" s="27" t="e">
        <f ca="1">M11-#REF!</f>
        <v>#REF!</v>
      </c>
      <c r="O11" s="14" t="e">
        <f t="shared" ca="1" si="22"/>
        <v>#REF!</v>
      </c>
      <c r="P11" s="12" t="e">
        <f t="shared" ca="1" si="23"/>
        <v>#REF!</v>
      </c>
      <c r="Q11" s="18" t="e">
        <f ca="1">P11-#REF!</f>
        <v>#REF!</v>
      </c>
      <c r="R11" s="13" t="e">
        <f t="shared" ca="1" si="24"/>
        <v>#REF!</v>
      </c>
      <c r="S11" s="18" t="e">
        <f ca="1">R11-#REF!</f>
        <v>#REF!</v>
      </c>
      <c r="T11" s="13" t="e">
        <f t="shared" ca="1" si="25"/>
        <v>#REF!</v>
      </c>
      <c r="U11" s="27" t="e">
        <f ca="1">T11-#REF!</f>
        <v>#REF!</v>
      </c>
      <c r="V11" s="12" t="e">
        <f t="shared" ca="1" si="26"/>
        <v>#REF!</v>
      </c>
      <c r="W11" s="18" t="e">
        <f ca="1">V11-#REF!</f>
        <v>#REF!</v>
      </c>
      <c r="X11" s="13" t="e">
        <f t="shared" ca="1" si="27"/>
        <v>#REF!</v>
      </c>
      <c r="Y11" s="18" t="e">
        <f ca="1">X11-#REF!</f>
        <v>#REF!</v>
      </c>
      <c r="Z11" s="13" t="e">
        <f t="shared" ca="1" si="5"/>
        <v>#REF!</v>
      </c>
      <c r="AA11" s="27" t="e">
        <f ca="1">Z11-#REF!</f>
        <v>#REF!</v>
      </c>
      <c r="AB11" s="12" t="e">
        <f t="shared" ca="1" si="28"/>
        <v>#REF!</v>
      </c>
      <c r="AC11" s="18" t="e">
        <f ca="1">AB11-#REF!</f>
        <v>#REF!</v>
      </c>
      <c r="AD11" s="13" t="e">
        <f t="shared" ca="1" si="6"/>
        <v>#REF!</v>
      </c>
      <c r="AE11" s="18" t="e">
        <f ca="1">AD11-#REF!</f>
        <v>#REF!</v>
      </c>
      <c r="AF11" s="13" t="e">
        <f t="shared" ca="1" si="7"/>
        <v>#REF!</v>
      </c>
      <c r="AG11" s="27" t="e">
        <f ca="1">AF11-#REF!</f>
        <v>#REF!</v>
      </c>
      <c r="AH11" s="12" t="e">
        <f t="shared" ca="1" si="29"/>
        <v>#REF!</v>
      </c>
      <c r="AI11" s="18" t="e">
        <f ca="1">AH11-#REF!</f>
        <v>#REF!</v>
      </c>
      <c r="AJ11" s="13" t="e">
        <f t="shared" ca="1" si="8"/>
        <v>#REF!</v>
      </c>
      <c r="AK11" s="18" t="e">
        <f ca="1">AJ11-#REF!</f>
        <v>#REF!</v>
      </c>
      <c r="AL11" s="13" t="e">
        <f t="shared" ca="1" si="9"/>
        <v>#REF!</v>
      </c>
      <c r="AM11" s="27" t="e">
        <f ca="1">AL11-#REF!</f>
        <v>#REF!</v>
      </c>
      <c r="AN11" s="12" t="e">
        <f t="shared" ca="1" si="30"/>
        <v>#REF!</v>
      </c>
      <c r="AO11" s="18" t="e">
        <f ca="1">AN11-#REF!</f>
        <v>#REF!</v>
      </c>
      <c r="AP11" s="13" t="e">
        <f t="shared" ca="1" si="10"/>
        <v>#REF!</v>
      </c>
      <c r="AQ11" s="18" t="e">
        <f ca="1">AP11-#REF!</f>
        <v>#REF!</v>
      </c>
      <c r="AR11" s="13" t="e">
        <f t="shared" ca="1" si="11"/>
        <v>#REF!</v>
      </c>
      <c r="AS11" s="27" t="e">
        <f ca="1">AR11-#REF!</f>
        <v>#REF!</v>
      </c>
      <c r="AT11" s="12" t="e">
        <f t="shared" ca="1" si="31"/>
        <v>#REF!</v>
      </c>
      <c r="AU11" s="18" t="e">
        <f ca="1">AT11-#REF!</f>
        <v>#REF!</v>
      </c>
      <c r="AV11" s="13" t="e">
        <f t="shared" ca="1" si="12"/>
        <v>#REF!</v>
      </c>
      <c r="AW11" s="18" t="e">
        <f ca="1">AV11-#REF!</f>
        <v>#REF!</v>
      </c>
      <c r="AX11" s="13" t="e">
        <f t="shared" ca="1" si="13"/>
        <v>#REF!</v>
      </c>
      <c r="AY11" s="27" t="e">
        <f ca="1">AX11-#REF!</f>
        <v>#REF!</v>
      </c>
      <c r="AZ11" s="12" t="e">
        <f t="shared" ca="1" si="32"/>
        <v>#REF!</v>
      </c>
      <c r="BA11" s="18" t="e">
        <f ca="1">AZ11-#REF!</f>
        <v>#REF!</v>
      </c>
      <c r="BB11" s="13" t="e">
        <f t="shared" ca="1" si="14"/>
        <v>#REF!</v>
      </c>
      <c r="BC11" s="18" t="e">
        <f ca="1">BB11-#REF!</f>
        <v>#REF!</v>
      </c>
      <c r="BD11" s="13" t="e">
        <f t="shared" ca="1" si="15"/>
        <v>#REF!</v>
      </c>
      <c r="BE11" s="27" t="e">
        <f ca="1">BD11-#REF!</f>
        <v>#REF!</v>
      </c>
      <c r="BF11" s="12" t="e">
        <f t="shared" ca="1" si="33"/>
        <v>#REF!</v>
      </c>
      <c r="BG11" s="18" t="e">
        <f ca="1">BF11-#REF!</f>
        <v>#REF!</v>
      </c>
      <c r="BH11" s="13" t="e">
        <f t="shared" ca="1" si="16"/>
        <v>#REF!</v>
      </c>
      <c r="BI11" s="18" t="e">
        <f ca="1">BH11-#REF!</f>
        <v>#REF!</v>
      </c>
      <c r="BJ11" s="13" t="e">
        <f t="shared" ca="1" si="17"/>
        <v>#REF!</v>
      </c>
      <c r="BK11" s="27" t="e">
        <f ca="1">BJ11-#REF!</f>
        <v>#REF!</v>
      </c>
      <c r="BL11" s="12" t="e">
        <f t="shared" ca="1" si="18"/>
        <v>#REF!</v>
      </c>
      <c r="BM11" s="18" t="e">
        <f ca="1">BL11-#REF!</f>
        <v>#REF!</v>
      </c>
      <c r="BN11" s="13" t="e">
        <f ca="1">R11-SUM(X11,AD11,AJ11,AP11,AV11,BB11,BH11)</f>
        <v>#REF!</v>
      </c>
      <c r="BO11" s="18" t="e">
        <f ca="1">BN11-#REF!</f>
        <v>#REF!</v>
      </c>
      <c r="BP11" s="13" t="e">
        <f ca="1">T11-SUM(Z11,AF11,AL11,AR11,AX11,BD11,BJ11)</f>
        <v>#REF!</v>
      </c>
      <c r="BQ11" s="28" t="e">
        <f ca="1">BP11-#REF!</f>
        <v>#REF!</v>
      </c>
    </row>
    <row r="12" spans="1:69" ht="18.75" x14ac:dyDescent="0.25">
      <c r="A12" s="15" t="s">
        <v>97</v>
      </c>
      <c r="B12" s="24" t="s">
        <v>116</v>
      </c>
      <c r="C12" s="12" t="e">
        <f t="shared" ca="1" si="20"/>
        <v>#REF!</v>
      </c>
      <c r="D12" s="18" t="e">
        <f ca="1">C12-#REF!</f>
        <v>#REF!</v>
      </c>
      <c r="E12" s="13" t="e">
        <f t="shared" ca="1" si="1"/>
        <v>#REF!</v>
      </c>
      <c r="F12" s="18" t="e">
        <f ca="1">E12-#REF!</f>
        <v>#REF!</v>
      </c>
      <c r="G12" s="13" t="e">
        <f t="shared" ca="1" si="2"/>
        <v>#REF!</v>
      </c>
      <c r="H12" s="27" t="e">
        <f ca="1">G12-#REF!</f>
        <v>#REF!</v>
      </c>
      <c r="I12" s="12" t="e">
        <f t="shared" ca="1" si="21"/>
        <v>#REF!</v>
      </c>
      <c r="J12" s="18" t="e">
        <f ca="1">I12-#REF!</f>
        <v>#REF!</v>
      </c>
      <c r="K12" s="13" t="e">
        <f t="shared" ca="1" si="3"/>
        <v>#REF!</v>
      </c>
      <c r="L12" s="18" t="e">
        <f ca="1">K12-#REF!</f>
        <v>#REF!</v>
      </c>
      <c r="M12" s="13" t="e">
        <f t="shared" ca="1" si="4"/>
        <v>#REF!</v>
      </c>
      <c r="N12" s="27" t="e">
        <f ca="1">M12-#REF!</f>
        <v>#REF!</v>
      </c>
      <c r="O12" s="14" t="e">
        <f t="shared" ca="1" si="22"/>
        <v>#REF!</v>
      </c>
      <c r="P12" s="12" t="e">
        <f t="shared" ca="1" si="23"/>
        <v>#REF!</v>
      </c>
      <c r="Q12" s="18" t="e">
        <f ca="1">P12-#REF!</f>
        <v>#REF!</v>
      </c>
      <c r="R12" s="13" t="e">
        <f t="shared" ca="1" si="24"/>
        <v>#REF!</v>
      </c>
      <c r="S12" s="18" t="e">
        <f ca="1">R12-#REF!</f>
        <v>#REF!</v>
      </c>
      <c r="T12" s="13" t="e">
        <f t="shared" ca="1" si="25"/>
        <v>#REF!</v>
      </c>
      <c r="U12" s="27" t="e">
        <f ca="1">T12-#REF!</f>
        <v>#REF!</v>
      </c>
      <c r="V12" s="12" t="e">
        <f t="shared" ca="1" si="26"/>
        <v>#REF!</v>
      </c>
      <c r="W12" s="18" t="e">
        <f ca="1">V12-#REF!</f>
        <v>#REF!</v>
      </c>
      <c r="X12" s="13" t="e">
        <f t="shared" ca="1" si="27"/>
        <v>#REF!</v>
      </c>
      <c r="Y12" s="18" t="e">
        <f ca="1">X12-#REF!</f>
        <v>#REF!</v>
      </c>
      <c r="Z12" s="13" t="e">
        <f t="shared" ca="1" si="5"/>
        <v>#REF!</v>
      </c>
      <c r="AA12" s="27" t="e">
        <f ca="1">Z12-#REF!</f>
        <v>#REF!</v>
      </c>
      <c r="AB12" s="12" t="e">
        <f t="shared" ca="1" si="28"/>
        <v>#REF!</v>
      </c>
      <c r="AC12" s="18" t="e">
        <f ca="1">AB12-#REF!</f>
        <v>#REF!</v>
      </c>
      <c r="AD12" s="13" t="e">
        <f t="shared" ca="1" si="6"/>
        <v>#REF!</v>
      </c>
      <c r="AE12" s="18" t="e">
        <f ca="1">AD12-#REF!</f>
        <v>#REF!</v>
      </c>
      <c r="AF12" s="13" t="e">
        <f t="shared" ca="1" si="7"/>
        <v>#REF!</v>
      </c>
      <c r="AG12" s="27" t="e">
        <f ca="1">AF12-#REF!</f>
        <v>#REF!</v>
      </c>
      <c r="AH12" s="12" t="e">
        <f t="shared" ca="1" si="29"/>
        <v>#REF!</v>
      </c>
      <c r="AI12" s="18" t="e">
        <f ca="1">AH12-#REF!</f>
        <v>#REF!</v>
      </c>
      <c r="AJ12" s="13" t="e">
        <f t="shared" ca="1" si="8"/>
        <v>#REF!</v>
      </c>
      <c r="AK12" s="18" t="e">
        <f ca="1">AJ12-#REF!</f>
        <v>#REF!</v>
      </c>
      <c r="AL12" s="13" t="e">
        <f t="shared" ca="1" si="9"/>
        <v>#REF!</v>
      </c>
      <c r="AM12" s="27" t="e">
        <f ca="1">AL12-#REF!</f>
        <v>#REF!</v>
      </c>
      <c r="AN12" s="12" t="e">
        <f t="shared" ca="1" si="30"/>
        <v>#REF!</v>
      </c>
      <c r="AO12" s="18" t="e">
        <f ca="1">AN12-#REF!</f>
        <v>#REF!</v>
      </c>
      <c r="AP12" s="13" t="e">
        <f t="shared" ca="1" si="10"/>
        <v>#REF!</v>
      </c>
      <c r="AQ12" s="18" t="e">
        <f ca="1">AP12-#REF!</f>
        <v>#REF!</v>
      </c>
      <c r="AR12" s="13" t="e">
        <f t="shared" ca="1" si="11"/>
        <v>#REF!</v>
      </c>
      <c r="AS12" s="27" t="e">
        <f ca="1">AR12-#REF!</f>
        <v>#REF!</v>
      </c>
      <c r="AT12" s="12" t="e">
        <f t="shared" ca="1" si="31"/>
        <v>#REF!</v>
      </c>
      <c r="AU12" s="18" t="e">
        <f ca="1">AT12-#REF!</f>
        <v>#REF!</v>
      </c>
      <c r="AV12" s="13" t="e">
        <f t="shared" ca="1" si="12"/>
        <v>#REF!</v>
      </c>
      <c r="AW12" s="18" t="e">
        <f ca="1">AV12-#REF!</f>
        <v>#REF!</v>
      </c>
      <c r="AX12" s="13" t="e">
        <f t="shared" ca="1" si="13"/>
        <v>#REF!</v>
      </c>
      <c r="AY12" s="27" t="e">
        <f ca="1">AX12-#REF!</f>
        <v>#REF!</v>
      </c>
      <c r="AZ12" s="12" t="e">
        <f t="shared" ca="1" si="32"/>
        <v>#REF!</v>
      </c>
      <c r="BA12" s="18" t="e">
        <f ca="1">AZ12-#REF!</f>
        <v>#REF!</v>
      </c>
      <c r="BB12" s="13" t="e">
        <f t="shared" ca="1" si="14"/>
        <v>#REF!</v>
      </c>
      <c r="BC12" s="18" t="e">
        <f ca="1">BB12-#REF!</f>
        <v>#REF!</v>
      </c>
      <c r="BD12" s="13" t="e">
        <f t="shared" ca="1" si="15"/>
        <v>#REF!</v>
      </c>
      <c r="BE12" s="27" t="e">
        <f ca="1">BD12-#REF!</f>
        <v>#REF!</v>
      </c>
      <c r="BF12" s="12" t="e">
        <f t="shared" ca="1" si="33"/>
        <v>#REF!</v>
      </c>
      <c r="BG12" s="18" t="e">
        <f ca="1">BF12-#REF!</f>
        <v>#REF!</v>
      </c>
      <c r="BH12" s="13" t="e">
        <f t="shared" ca="1" si="16"/>
        <v>#REF!</v>
      </c>
      <c r="BI12" s="18" t="e">
        <f ca="1">BH12-#REF!</f>
        <v>#REF!</v>
      </c>
      <c r="BJ12" s="13" t="e">
        <f t="shared" ca="1" si="17"/>
        <v>#REF!</v>
      </c>
      <c r="BK12" s="27" t="e">
        <f ca="1">BJ12-#REF!</f>
        <v>#REF!</v>
      </c>
      <c r="BL12" s="12" t="e">
        <f t="shared" ca="1" si="18"/>
        <v>#REF!</v>
      </c>
      <c r="BM12" s="18" t="e">
        <f ca="1">BL12-#REF!</f>
        <v>#REF!</v>
      </c>
      <c r="BN12" s="13" t="e">
        <f t="shared" ca="1" si="18"/>
        <v>#REF!</v>
      </c>
      <c r="BO12" s="18" t="e">
        <f ca="1">BN12-#REF!</f>
        <v>#REF!</v>
      </c>
      <c r="BP12" s="13" t="e">
        <f t="shared" ca="1" si="19"/>
        <v>#REF!</v>
      </c>
      <c r="BQ12" s="28" t="e">
        <f ca="1">BP12-#REF!</f>
        <v>#REF!</v>
      </c>
    </row>
    <row r="13" spans="1:69" ht="18.75" x14ac:dyDescent="0.25">
      <c r="A13" s="15" t="s">
        <v>98</v>
      </c>
      <c r="B13" s="24" t="s">
        <v>117</v>
      </c>
      <c r="C13" s="12" t="e">
        <f t="shared" ca="1" si="20"/>
        <v>#REF!</v>
      </c>
      <c r="D13" s="18" t="e">
        <f ca="1">C13-#REF!</f>
        <v>#REF!</v>
      </c>
      <c r="E13" s="13" t="e">
        <f t="shared" ca="1" si="1"/>
        <v>#REF!</v>
      </c>
      <c r="F13" s="18" t="e">
        <f ca="1">E13-#REF!</f>
        <v>#REF!</v>
      </c>
      <c r="G13" s="13" t="e">
        <f t="shared" ca="1" si="2"/>
        <v>#REF!</v>
      </c>
      <c r="H13" s="27" t="e">
        <f ca="1">G13-#REF!</f>
        <v>#REF!</v>
      </c>
      <c r="I13" s="12" t="e">
        <f t="shared" ca="1" si="21"/>
        <v>#REF!</v>
      </c>
      <c r="J13" s="18" t="e">
        <f ca="1">I13-#REF!</f>
        <v>#REF!</v>
      </c>
      <c r="K13" s="13" t="e">
        <f t="shared" ca="1" si="3"/>
        <v>#REF!</v>
      </c>
      <c r="L13" s="18" t="e">
        <f ca="1">K13-#REF!</f>
        <v>#REF!</v>
      </c>
      <c r="M13" s="13" t="e">
        <f t="shared" ca="1" si="4"/>
        <v>#REF!</v>
      </c>
      <c r="N13" s="27" t="e">
        <f ca="1">M13-#REF!</f>
        <v>#REF!</v>
      </c>
      <c r="O13" s="14" t="e">
        <f t="shared" ca="1" si="22"/>
        <v>#REF!</v>
      </c>
      <c r="P13" s="12" t="e">
        <f t="shared" ca="1" si="23"/>
        <v>#REF!</v>
      </c>
      <c r="Q13" s="18" t="e">
        <f ca="1">P13-#REF!</f>
        <v>#REF!</v>
      </c>
      <c r="R13" s="13" t="e">
        <f t="shared" ca="1" si="24"/>
        <v>#REF!</v>
      </c>
      <c r="S13" s="18" t="e">
        <f ca="1">R13-#REF!</f>
        <v>#REF!</v>
      </c>
      <c r="T13" s="13" t="e">
        <f t="shared" ca="1" si="25"/>
        <v>#REF!</v>
      </c>
      <c r="U13" s="27" t="e">
        <f ca="1">T13-#REF!</f>
        <v>#REF!</v>
      </c>
      <c r="V13" s="12" t="e">
        <f t="shared" ca="1" si="26"/>
        <v>#REF!</v>
      </c>
      <c r="W13" s="18" t="e">
        <f ca="1">V13-#REF!</f>
        <v>#REF!</v>
      </c>
      <c r="X13" s="13" t="e">
        <f t="shared" ca="1" si="27"/>
        <v>#REF!</v>
      </c>
      <c r="Y13" s="18" t="e">
        <f ca="1">X13-#REF!</f>
        <v>#REF!</v>
      </c>
      <c r="Z13" s="13" t="e">
        <f t="shared" ca="1" si="5"/>
        <v>#REF!</v>
      </c>
      <c r="AA13" s="27" t="e">
        <f ca="1">Z13-#REF!</f>
        <v>#REF!</v>
      </c>
      <c r="AB13" s="12" t="e">
        <f t="shared" ca="1" si="28"/>
        <v>#REF!</v>
      </c>
      <c r="AC13" s="18" t="e">
        <f ca="1">AB13-#REF!</f>
        <v>#REF!</v>
      </c>
      <c r="AD13" s="13" t="e">
        <f t="shared" ca="1" si="6"/>
        <v>#REF!</v>
      </c>
      <c r="AE13" s="18" t="e">
        <f ca="1">AD13-#REF!</f>
        <v>#REF!</v>
      </c>
      <c r="AF13" s="13" t="e">
        <f t="shared" ca="1" si="7"/>
        <v>#REF!</v>
      </c>
      <c r="AG13" s="27" t="e">
        <f ca="1">AF13-#REF!</f>
        <v>#REF!</v>
      </c>
      <c r="AH13" s="12" t="e">
        <f t="shared" ca="1" si="29"/>
        <v>#REF!</v>
      </c>
      <c r="AI13" s="18" t="e">
        <f ca="1">AH13-#REF!</f>
        <v>#REF!</v>
      </c>
      <c r="AJ13" s="13" t="e">
        <f t="shared" ca="1" si="8"/>
        <v>#REF!</v>
      </c>
      <c r="AK13" s="18" t="e">
        <f ca="1">AJ13-#REF!</f>
        <v>#REF!</v>
      </c>
      <c r="AL13" s="13" t="e">
        <f t="shared" ca="1" si="9"/>
        <v>#REF!</v>
      </c>
      <c r="AM13" s="27" t="e">
        <f ca="1">AL13-#REF!</f>
        <v>#REF!</v>
      </c>
      <c r="AN13" s="12" t="e">
        <f t="shared" ca="1" si="30"/>
        <v>#REF!</v>
      </c>
      <c r="AO13" s="18" t="e">
        <f ca="1">AN13-#REF!</f>
        <v>#REF!</v>
      </c>
      <c r="AP13" s="13" t="e">
        <f t="shared" ca="1" si="10"/>
        <v>#REF!</v>
      </c>
      <c r="AQ13" s="18" t="e">
        <f ca="1">AP13-#REF!</f>
        <v>#REF!</v>
      </c>
      <c r="AR13" s="13" t="e">
        <f t="shared" ca="1" si="11"/>
        <v>#REF!</v>
      </c>
      <c r="AS13" s="27" t="e">
        <f ca="1">AR13-#REF!</f>
        <v>#REF!</v>
      </c>
      <c r="AT13" s="12" t="e">
        <f t="shared" ca="1" si="31"/>
        <v>#REF!</v>
      </c>
      <c r="AU13" s="18" t="e">
        <f ca="1">AT13-#REF!</f>
        <v>#REF!</v>
      </c>
      <c r="AV13" s="13" t="e">
        <f t="shared" ca="1" si="12"/>
        <v>#REF!</v>
      </c>
      <c r="AW13" s="18" t="e">
        <f ca="1">AV13-#REF!</f>
        <v>#REF!</v>
      </c>
      <c r="AX13" s="13" t="e">
        <f t="shared" ca="1" si="13"/>
        <v>#REF!</v>
      </c>
      <c r="AY13" s="27" t="e">
        <f ca="1">AX13-#REF!</f>
        <v>#REF!</v>
      </c>
      <c r="AZ13" s="12" t="e">
        <f t="shared" ca="1" si="32"/>
        <v>#REF!</v>
      </c>
      <c r="BA13" s="18" t="e">
        <f ca="1">AZ13-#REF!</f>
        <v>#REF!</v>
      </c>
      <c r="BB13" s="13" t="e">
        <f t="shared" ca="1" si="14"/>
        <v>#REF!</v>
      </c>
      <c r="BC13" s="18" t="e">
        <f ca="1">BB13-#REF!</f>
        <v>#REF!</v>
      </c>
      <c r="BD13" s="13" t="e">
        <f t="shared" ca="1" si="15"/>
        <v>#REF!</v>
      </c>
      <c r="BE13" s="27" t="e">
        <f ca="1">BD13-#REF!</f>
        <v>#REF!</v>
      </c>
      <c r="BF13" s="12" t="e">
        <f t="shared" ca="1" si="33"/>
        <v>#REF!</v>
      </c>
      <c r="BG13" s="18" t="e">
        <f ca="1">BF13-#REF!</f>
        <v>#REF!</v>
      </c>
      <c r="BH13" s="13" t="e">
        <f t="shared" ca="1" si="16"/>
        <v>#REF!</v>
      </c>
      <c r="BI13" s="18" t="e">
        <f ca="1">BH13-#REF!</f>
        <v>#REF!</v>
      </c>
      <c r="BJ13" s="13" t="e">
        <f t="shared" ca="1" si="17"/>
        <v>#REF!</v>
      </c>
      <c r="BK13" s="27" t="e">
        <f ca="1">BJ13-#REF!</f>
        <v>#REF!</v>
      </c>
      <c r="BL13" s="12" t="e">
        <f t="shared" ca="1" si="18"/>
        <v>#REF!</v>
      </c>
      <c r="BM13" s="18" t="e">
        <f ca="1">BL13-#REF!</f>
        <v>#REF!</v>
      </c>
      <c r="BN13" s="13" t="e">
        <f t="shared" ca="1" si="18"/>
        <v>#REF!</v>
      </c>
      <c r="BO13" s="18" t="e">
        <f ca="1">BN13-#REF!</f>
        <v>#REF!</v>
      </c>
      <c r="BP13" s="13" t="e">
        <f t="shared" ca="1" si="19"/>
        <v>#REF!</v>
      </c>
      <c r="BQ13" s="28" t="e">
        <f ca="1">BP13-#REF!</f>
        <v>#REF!</v>
      </c>
    </row>
    <row r="14" spans="1:69" ht="18.75" x14ac:dyDescent="0.25">
      <c r="A14" s="15" t="s">
        <v>99</v>
      </c>
      <c r="B14" s="24" t="s">
        <v>118</v>
      </c>
      <c r="C14" s="12" t="e">
        <f t="shared" ca="1" si="20"/>
        <v>#REF!</v>
      </c>
      <c r="D14" s="18" t="e">
        <f ca="1">C14-#REF!</f>
        <v>#REF!</v>
      </c>
      <c r="E14" s="13" t="e">
        <f t="shared" ca="1" si="1"/>
        <v>#REF!</v>
      </c>
      <c r="F14" s="18" t="e">
        <f ca="1">E14-#REF!</f>
        <v>#REF!</v>
      </c>
      <c r="G14" s="13" t="e">
        <f t="shared" ca="1" si="2"/>
        <v>#REF!</v>
      </c>
      <c r="H14" s="27" t="e">
        <f ca="1">G14-#REF!</f>
        <v>#REF!</v>
      </c>
      <c r="I14" s="12" t="e">
        <f t="shared" ca="1" si="21"/>
        <v>#REF!</v>
      </c>
      <c r="J14" s="18" t="e">
        <f ca="1">I14-#REF!</f>
        <v>#REF!</v>
      </c>
      <c r="K14" s="13" t="e">
        <f t="shared" ca="1" si="3"/>
        <v>#REF!</v>
      </c>
      <c r="L14" s="18" t="e">
        <f ca="1">K14-#REF!</f>
        <v>#REF!</v>
      </c>
      <c r="M14" s="13" t="e">
        <f t="shared" ca="1" si="4"/>
        <v>#REF!</v>
      </c>
      <c r="N14" s="27" t="e">
        <f ca="1">M14-#REF!</f>
        <v>#REF!</v>
      </c>
      <c r="O14" s="14" t="e">
        <f t="shared" ca="1" si="22"/>
        <v>#REF!</v>
      </c>
      <c r="P14" s="12" t="e">
        <f t="shared" ca="1" si="23"/>
        <v>#REF!</v>
      </c>
      <c r="Q14" s="18" t="e">
        <f ca="1">P14-#REF!</f>
        <v>#REF!</v>
      </c>
      <c r="R14" s="13" t="e">
        <f t="shared" ca="1" si="24"/>
        <v>#REF!</v>
      </c>
      <c r="S14" s="18" t="e">
        <f ca="1">R14-#REF!</f>
        <v>#REF!</v>
      </c>
      <c r="T14" s="13" t="e">
        <f t="shared" ca="1" si="25"/>
        <v>#REF!</v>
      </c>
      <c r="U14" s="27" t="e">
        <f ca="1">T14-#REF!</f>
        <v>#REF!</v>
      </c>
      <c r="V14" s="12" t="e">
        <f t="shared" ca="1" si="26"/>
        <v>#REF!</v>
      </c>
      <c r="W14" s="18" t="e">
        <f ca="1">V14-#REF!</f>
        <v>#REF!</v>
      </c>
      <c r="X14" s="13" t="e">
        <f t="shared" ca="1" si="27"/>
        <v>#REF!</v>
      </c>
      <c r="Y14" s="18" t="e">
        <f ca="1">X14-#REF!</f>
        <v>#REF!</v>
      </c>
      <c r="Z14" s="13" t="e">
        <f t="shared" ca="1" si="5"/>
        <v>#REF!</v>
      </c>
      <c r="AA14" s="27" t="e">
        <f ca="1">Z14-#REF!</f>
        <v>#REF!</v>
      </c>
      <c r="AB14" s="12" t="e">
        <f t="shared" ca="1" si="28"/>
        <v>#REF!</v>
      </c>
      <c r="AC14" s="18" t="e">
        <f ca="1">AB14-#REF!</f>
        <v>#REF!</v>
      </c>
      <c r="AD14" s="13" t="e">
        <f t="shared" ca="1" si="6"/>
        <v>#REF!</v>
      </c>
      <c r="AE14" s="18" t="e">
        <f ca="1">AD14-#REF!</f>
        <v>#REF!</v>
      </c>
      <c r="AF14" s="13" t="e">
        <f t="shared" ca="1" si="7"/>
        <v>#REF!</v>
      </c>
      <c r="AG14" s="27" t="e">
        <f ca="1">AF14-#REF!</f>
        <v>#REF!</v>
      </c>
      <c r="AH14" s="12" t="e">
        <f t="shared" ca="1" si="29"/>
        <v>#REF!</v>
      </c>
      <c r="AI14" s="18" t="e">
        <f ca="1">AH14-#REF!</f>
        <v>#REF!</v>
      </c>
      <c r="AJ14" s="13" t="e">
        <f t="shared" ca="1" si="8"/>
        <v>#REF!</v>
      </c>
      <c r="AK14" s="18" t="e">
        <f ca="1">AJ14-#REF!</f>
        <v>#REF!</v>
      </c>
      <c r="AL14" s="13" t="e">
        <f t="shared" ca="1" si="9"/>
        <v>#REF!</v>
      </c>
      <c r="AM14" s="27" t="e">
        <f ca="1">AL14-#REF!</f>
        <v>#REF!</v>
      </c>
      <c r="AN14" s="12" t="e">
        <f t="shared" ca="1" si="30"/>
        <v>#REF!</v>
      </c>
      <c r="AO14" s="18" t="e">
        <f ca="1">AN14-#REF!</f>
        <v>#REF!</v>
      </c>
      <c r="AP14" s="13" t="e">
        <f t="shared" ca="1" si="10"/>
        <v>#REF!</v>
      </c>
      <c r="AQ14" s="18" t="e">
        <f ca="1">AP14-#REF!</f>
        <v>#REF!</v>
      </c>
      <c r="AR14" s="13" t="e">
        <f t="shared" ca="1" si="11"/>
        <v>#REF!</v>
      </c>
      <c r="AS14" s="27" t="e">
        <f ca="1">AR14-#REF!</f>
        <v>#REF!</v>
      </c>
      <c r="AT14" s="12" t="e">
        <f t="shared" ca="1" si="31"/>
        <v>#REF!</v>
      </c>
      <c r="AU14" s="18" t="e">
        <f ca="1">AT14-#REF!</f>
        <v>#REF!</v>
      </c>
      <c r="AV14" s="13" t="e">
        <f t="shared" ca="1" si="12"/>
        <v>#REF!</v>
      </c>
      <c r="AW14" s="18" t="e">
        <f ca="1">AV14-#REF!</f>
        <v>#REF!</v>
      </c>
      <c r="AX14" s="13" t="e">
        <f t="shared" ca="1" si="13"/>
        <v>#REF!</v>
      </c>
      <c r="AY14" s="27" t="e">
        <f ca="1">AX14-#REF!</f>
        <v>#REF!</v>
      </c>
      <c r="AZ14" s="12" t="e">
        <f t="shared" ca="1" si="32"/>
        <v>#REF!</v>
      </c>
      <c r="BA14" s="18" t="e">
        <f ca="1">AZ14-#REF!</f>
        <v>#REF!</v>
      </c>
      <c r="BB14" s="13" t="e">
        <f t="shared" ca="1" si="14"/>
        <v>#REF!</v>
      </c>
      <c r="BC14" s="18" t="e">
        <f ca="1">BB14-#REF!</f>
        <v>#REF!</v>
      </c>
      <c r="BD14" s="13" t="e">
        <f t="shared" ca="1" si="15"/>
        <v>#REF!</v>
      </c>
      <c r="BE14" s="27" t="e">
        <f ca="1">BD14-#REF!</f>
        <v>#REF!</v>
      </c>
      <c r="BF14" s="12" t="e">
        <f t="shared" ca="1" si="33"/>
        <v>#REF!</v>
      </c>
      <c r="BG14" s="18" t="e">
        <f ca="1">BF14-#REF!</f>
        <v>#REF!</v>
      </c>
      <c r="BH14" s="13" t="e">
        <f t="shared" ca="1" si="16"/>
        <v>#REF!</v>
      </c>
      <c r="BI14" s="18" t="e">
        <f ca="1">BH14-#REF!</f>
        <v>#REF!</v>
      </c>
      <c r="BJ14" s="13" t="e">
        <f t="shared" ca="1" si="17"/>
        <v>#REF!</v>
      </c>
      <c r="BK14" s="27" t="e">
        <f ca="1">BJ14-#REF!</f>
        <v>#REF!</v>
      </c>
      <c r="BL14" s="12" t="e">
        <f t="shared" ca="1" si="18"/>
        <v>#REF!</v>
      </c>
      <c r="BM14" s="18" t="e">
        <f ca="1">BL14-#REF!</f>
        <v>#REF!</v>
      </c>
      <c r="BN14" s="13" t="e">
        <f t="shared" ca="1" si="18"/>
        <v>#REF!</v>
      </c>
      <c r="BO14" s="18" t="e">
        <f ca="1">BN14-#REF!</f>
        <v>#REF!</v>
      </c>
      <c r="BP14" s="13" t="e">
        <f t="shared" ca="1" si="19"/>
        <v>#REF!</v>
      </c>
      <c r="BQ14" s="28" t="e">
        <f ca="1">BP14-#REF!</f>
        <v>#REF!</v>
      </c>
    </row>
    <row r="15" spans="1:69" ht="18.75" x14ac:dyDescent="0.25">
      <c r="A15" s="15" t="s">
        <v>100</v>
      </c>
      <c r="B15" s="24" t="s">
        <v>119</v>
      </c>
      <c r="C15" s="12" t="e">
        <f t="shared" ca="1" si="20"/>
        <v>#REF!</v>
      </c>
      <c r="D15" s="18" t="e">
        <f ca="1">C15-#REF!</f>
        <v>#REF!</v>
      </c>
      <c r="E15" s="13" t="e">
        <f t="shared" ca="1" si="1"/>
        <v>#REF!</v>
      </c>
      <c r="F15" s="18" t="e">
        <f ca="1">E15-#REF!</f>
        <v>#REF!</v>
      </c>
      <c r="G15" s="13" t="e">
        <f t="shared" ca="1" si="2"/>
        <v>#REF!</v>
      </c>
      <c r="H15" s="27" t="e">
        <f ca="1">G15-#REF!</f>
        <v>#REF!</v>
      </c>
      <c r="I15" s="12" t="e">
        <f t="shared" ca="1" si="21"/>
        <v>#REF!</v>
      </c>
      <c r="J15" s="18" t="e">
        <f ca="1">I15-#REF!</f>
        <v>#REF!</v>
      </c>
      <c r="K15" s="13" t="e">
        <f t="shared" ca="1" si="3"/>
        <v>#REF!</v>
      </c>
      <c r="L15" s="18" t="e">
        <f ca="1">K15-#REF!</f>
        <v>#REF!</v>
      </c>
      <c r="M15" s="13" t="e">
        <f t="shared" ca="1" si="4"/>
        <v>#REF!</v>
      </c>
      <c r="N15" s="27" t="e">
        <f ca="1">M15-#REF!</f>
        <v>#REF!</v>
      </c>
      <c r="O15" s="14" t="e">
        <f t="shared" ca="1" si="22"/>
        <v>#REF!</v>
      </c>
      <c r="P15" s="12" t="e">
        <f t="shared" ca="1" si="23"/>
        <v>#REF!</v>
      </c>
      <c r="Q15" s="18" t="e">
        <f ca="1">P15-#REF!</f>
        <v>#REF!</v>
      </c>
      <c r="R15" s="13" t="e">
        <f t="shared" ca="1" si="24"/>
        <v>#REF!</v>
      </c>
      <c r="S15" s="18" t="e">
        <f ca="1">R15-#REF!</f>
        <v>#REF!</v>
      </c>
      <c r="T15" s="13" t="e">
        <f t="shared" ca="1" si="25"/>
        <v>#REF!</v>
      </c>
      <c r="U15" s="27" t="e">
        <f ca="1">T15-#REF!</f>
        <v>#REF!</v>
      </c>
      <c r="V15" s="12" t="e">
        <f t="shared" ca="1" si="26"/>
        <v>#REF!</v>
      </c>
      <c r="W15" s="18" t="e">
        <f ca="1">V15-#REF!</f>
        <v>#REF!</v>
      </c>
      <c r="X15" s="13" t="e">
        <f t="shared" ca="1" si="27"/>
        <v>#REF!</v>
      </c>
      <c r="Y15" s="18" t="e">
        <f ca="1">X15-#REF!</f>
        <v>#REF!</v>
      </c>
      <c r="Z15" s="13" t="e">
        <f t="shared" ca="1" si="5"/>
        <v>#REF!</v>
      </c>
      <c r="AA15" s="27" t="e">
        <f ca="1">Z15-#REF!</f>
        <v>#REF!</v>
      </c>
      <c r="AB15" s="12" t="e">
        <f t="shared" ca="1" si="28"/>
        <v>#REF!</v>
      </c>
      <c r="AC15" s="18" t="e">
        <f ca="1">AB15-#REF!</f>
        <v>#REF!</v>
      </c>
      <c r="AD15" s="13" t="e">
        <f t="shared" ca="1" si="6"/>
        <v>#REF!</v>
      </c>
      <c r="AE15" s="18" t="e">
        <f ca="1">AD15-#REF!</f>
        <v>#REF!</v>
      </c>
      <c r="AF15" s="13" t="e">
        <f t="shared" ca="1" si="7"/>
        <v>#REF!</v>
      </c>
      <c r="AG15" s="27" t="e">
        <f ca="1">AF15-#REF!</f>
        <v>#REF!</v>
      </c>
      <c r="AH15" s="12" t="e">
        <f t="shared" ca="1" si="29"/>
        <v>#REF!</v>
      </c>
      <c r="AI15" s="18" t="e">
        <f ca="1">AH15-#REF!</f>
        <v>#REF!</v>
      </c>
      <c r="AJ15" s="13" t="e">
        <f t="shared" ca="1" si="8"/>
        <v>#REF!</v>
      </c>
      <c r="AK15" s="18" t="e">
        <f ca="1">AJ15-#REF!</f>
        <v>#REF!</v>
      </c>
      <c r="AL15" s="13" t="e">
        <f t="shared" ca="1" si="9"/>
        <v>#REF!</v>
      </c>
      <c r="AM15" s="27" t="e">
        <f ca="1">AL15-#REF!</f>
        <v>#REF!</v>
      </c>
      <c r="AN15" s="12" t="e">
        <f t="shared" ca="1" si="30"/>
        <v>#REF!</v>
      </c>
      <c r="AO15" s="18" t="e">
        <f ca="1">AN15-#REF!</f>
        <v>#REF!</v>
      </c>
      <c r="AP15" s="13" t="e">
        <f t="shared" ca="1" si="10"/>
        <v>#REF!</v>
      </c>
      <c r="AQ15" s="18" t="e">
        <f ca="1">AP15-#REF!</f>
        <v>#REF!</v>
      </c>
      <c r="AR15" s="13" t="e">
        <f t="shared" ca="1" si="11"/>
        <v>#REF!</v>
      </c>
      <c r="AS15" s="27" t="e">
        <f ca="1">AR15-#REF!</f>
        <v>#REF!</v>
      </c>
      <c r="AT15" s="12" t="e">
        <f t="shared" ca="1" si="31"/>
        <v>#REF!</v>
      </c>
      <c r="AU15" s="18" t="e">
        <f ca="1">AT15-#REF!</f>
        <v>#REF!</v>
      </c>
      <c r="AV15" s="13" t="e">
        <f t="shared" ca="1" si="12"/>
        <v>#REF!</v>
      </c>
      <c r="AW15" s="18" t="e">
        <f ca="1">AV15-#REF!</f>
        <v>#REF!</v>
      </c>
      <c r="AX15" s="13" t="e">
        <f t="shared" ca="1" si="13"/>
        <v>#REF!</v>
      </c>
      <c r="AY15" s="27" t="e">
        <f ca="1">AX15-#REF!</f>
        <v>#REF!</v>
      </c>
      <c r="AZ15" s="12" t="e">
        <f t="shared" ca="1" si="32"/>
        <v>#REF!</v>
      </c>
      <c r="BA15" s="18" t="e">
        <f ca="1">AZ15-#REF!</f>
        <v>#REF!</v>
      </c>
      <c r="BB15" s="13" t="e">
        <f t="shared" ca="1" si="14"/>
        <v>#REF!</v>
      </c>
      <c r="BC15" s="18" t="e">
        <f ca="1">BB15-#REF!</f>
        <v>#REF!</v>
      </c>
      <c r="BD15" s="13" t="e">
        <f t="shared" ca="1" si="15"/>
        <v>#REF!</v>
      </c>
      <c r="BE15" s="27" t="e">
        <f ca="1">BD15-#REF!</f>
        <v>#REF!</v>
      </c>
      <c r="BF15" s="12" t="e">
        <f t="shared" ca="1" si="33"/>
        <v>#REF!</v>
      </c>
      <c r="BG15" s="18" t="e">
        <f ca="1">BF15-#REF!</f>
        <v>#REF!</v>
      </c>
      <c r="BH15" s="13" t="e">
        <f t="shared" ca="1" si="16"/>
        <v>#REF!</v>
      </c>
      <c r="BI15" s="18" t="e">
        <f ca="1">BH15-#REF!</f>
        <v>#REF!</v>
      </c>
      <c r="BJ15" s="13" t="e">
        <f t="shared" ca="1" si="17"/>
        <v>#REF!</v>
      </c>
      <c r="BK15" s="27" t="e">
        <f ca="1">BJ15-#REF!</f>
        <v>#REF!</v>
      </c>
      <c r="BL15" s="12" t="e">
        <f t="shared" ca="1" si="18"/>
        <v>#REF!</v>
      </c>
      <c r="BM15" s="18" t="e">
        <f ca="1">BL15-#REF!</f>
        <v>#REF!</v>
      </c>
      <c r="BN15" s="13" t="e">
        <f t="shared" ca="1" si="18"/>
        <v>#REF!</v>
      </c>
      <c r="BO15" s="18" t="e">
        <f ca="1">BN15-#REF!</f>
        <v>#REF!</v>
      </c>
      <c r="BP15" s="13" t="e">
        <f t="shared" ca="1" si="19"/>
        <v>#REF!</v>
      </c>
      <c r="BQ15" s="28" t="e">
        <f ca="1">BP15-#REF!</f>
        <v>#REF!</v>
      </c>
    </row>
    <row r="16" spans="1:69" ht="18.75" x14ac:dyDescent="0.25">
      <c r="A16" s="16" t="s">
        <v>101</v>
      </c>
      <c r="B16" s="25" t="s">
        <v>120</v>
      </c>
      <c r="C16" s="9" t="e">
        <f t="shared" ca="1" si="20"/>
        <v>#REF!</v>
      </c>
      <c r="D16" s="22" t="e">
        <f ca="1">C16-#REF!</f>
        <v>#REF!</v>
      </c>
      <c r="E16" s="10" t="e">
        <f t="shared" ca="1" si="1"/>
        <v>#REF!</v>
      </c>
      <c r="F16" s="22" t="e">
        <f ca="1">E16-#REF!</f>
        <v>#REF!</v>
      </c>
      <c r="G16" s="10" t="e">
        <f t="shared" ca="1" si="2"/>
        <v>#REF!</v>
      </c>
      <c r="H16" s="28" t="e">
        <f ca="1">G16-#REF!</f>
        <v>#REF!</v>
      </c>
      <c r="I16" s="9" t="e">
        <f t="shared" ca="1" si="21"/>
        <v>#REF!</v>
      </c>
      <c r="J16" s="22" t="e">
        <f ca="1">I16-#REF!</f>
        <v>#REF!</v>
      </c>
      <c r="K16" s="10" t="e">
        <f t="shared" ca="1" si="3"/>
        <v>#REF!</v>
      </c>
      <c r="L16" s="22" t="e">
        <f ca="1">K16-#REF!</f>
        <v>#REF!</v>
      </c>
      <c r="M16" s="10" t="e">
        <f t="shared" ca="1" si="4"/>
        <v>#REF!</v>
      </c>
      <c r="N16" s="28" t="e">
        <f ca="1">M16-#REF!</f>
        <v>#REF!</v>
      </c>
      <c r="O16" s="11" t="e">
        <f t="shared" ca="1" si="22"/>
        <v>#REF!</v>
      </c>
      <c r="P16" s="9" t="e">
        <f t="shared" ca="1" si="23"/>
        <v>#REF!</v>
      </c>
      <c r="Q16" s="22" t="e">
        <f ca="1">P16-#REF!</f>
        <v>#REF!</v>
      </c>
      <c r="R16" s="10" t="e">
        <f t="shared" ca="1" si="24"/>
        <v>#REF!</v>
      </c>
      <c r="S16" s="22" t="e">
        <f ca="1">R16-#REF!</f>
        <v>#REF!</v>
      </c>
      <c r="T16" s="10" t="e">
        <f t="shared" ca="1" si="25"/>
        <v>#REF!</v>
      </c>
      <c r="U16" s="28" t="e">
        <f ca="1">T16-#REF!</f>
        <v>#REF!</v>
      </c>
      <c r="V16" s="9" t="e">
        <f t="shared" ca="1" si="26"/>
        <v>#REF!</v>
      </c>
      <c r="W16" s="22" t="e">
        <f ca="1">V16-#REF!</f>
        <v>#REF!</v>
      </c>
      <c r="X16" s="10" t="e">
        <f t="shared" ca="1" si="27"/>
        <v>#REF!</v>
      </c>
      <c r="Y16" s="22" t="e">
        <f ca="1">X16-#REF!</f>
        <v>#REF!</v>
      </c>
      <c r="Z16" s="10" t="e">
        <f t="shared" ca="1" si="5"/>
        <v>#REF!</v>
      </c>
      <c r="AA16" s="28" t="e">
        <f ca="1">Z16-#REF!</f>
        <v>#REF!</v>
      </c>
      <c r="AB16" s="12" t="e">
        <f t="shared" ca="1" si="28"/>
        <v>#REF!</v>
      </c>
      <c r="AC16" s="22" t="e">
        <f ca="1">AB16-#REF!</f>
        <v>#REF!</v>
      </c>
      <c r="AD16" s="13" t="e">
        <f t="shared" ca="1" si="6"/>
        <v>#REF!</v>
      </c>
      <c r="AE16" s="22" t="e">
        <f ca="1">AD16-#REF!</f>
        <v>#REF!</v>
      </c>
      <c r="AF16" s="13" t="e">
        <f t="shared" ca="1" si="7"/>
        <v>#REF!</v>
      </c>
      <c r="AG16" s="28" t="e">
        <f ca="1">AF16-#REF!</f>
        <v>#REF!</v>
      </c>
      <c r="AH16" s="12" t="e">
        <f t="shared" ca="1" si="29"/>
        <v>#REF!</v>
      </c>
      <c r="AI16" s="22" t="e">
        <f ca="1">AH16-#REF!</f>
        <v>#REF!</v>
      </c>
      <c r="AJ16" s="13" t="e">
        <f t="shared" ca="1" si="8"/>
        <v>#REF!</v>
      </c>
      <c r="AK16" s="22" t="e">
        <f ca="1">AJ16-#REF!</f>
        <v>#REF!</v>
      </c>
      <c r="AL16" s="13" t="e">
        <f t="shared" ca="1" si="9"/>
        <v>#REF!</v>
      </c>
      <c r="AM16" s="28" t="e">
        <f ca="1">AL16-#REF!</f>
        <v>#REF!</v>
      </c>
      <c r="AN16" s="12" t="e">
        <f t="shared" ca="1" si="30"/>
        <v>#REF!</v>
      </c>
      <c r="AO16" s="22" t="e">
        <f ca="1">AN16-#REF!</f>
        <v>#REF!</v>
      </c>
      <c r="AP16" s="13" t="e">
        <f t="shared" ca="1" si="10"/>
        <v>#REF!</v>
      </c>
      <c r="AQ16" s="22" t="e">
        <f ca="1">AP16-#REF!</f>
        <v>#REF!</v>
      </c>
      <c r="AR16" s="13" t="e">
        <f t="shared" ca="1" si="11"/>
        <v>#REF!</v>
      </c>
      <c r="AS16" s="28" t="e">
        <f ca="1">AR16-#REF!</f>
        <v>#REF!</v>
      </c>
      <c r="AT16" s="12" t="e">
        <f t="shared" ca="1" si="31"/>
        <v>#REF!</v>
      </c>
      <c r="AU16" s="22" t="e">
        <f ca="1">AT16-#REF!</f>
        <v>#REF!</v>
      </c>
      <c r="AV16" s="13" t="e">
        <f t="shared" ca="1" si="12"/>
        <v>#REF!</v>
      </c>
      <c r="AW16" s="22" t="e">
        <f ca="1">AV16-#REF!</f>
        <v>#REF!</v>
      </c>
      <c r="AX16" s="13" t="e">
        <f t="shared" ca="1" si="13"/>
        <v>#REF!</v>
      </c>
      <c r="AY16" s="28" t="e">
        <f ca="1">AX16-#REF!</f>
        <v>#REF!</v>
      </c>
      <c r="AZ16" s="12" t="e">
        <f t="shared" ca="1" si="32"/>
        <v>#REF!</v>
      </c>
      <c r="BA16" s="22" t="e">
        <f ca="1">AZ16-#REF!</f>
        <v>#REF!</v>
      </c>
      <c r="BB16" s="13" t="e">
        <f t="shared" ca="1" si="14"/>
        <v>#REF!</v>
      </c>
      <c r="BC16" s="22" t="e">
        <f ca="1">BB16-#REF!</f>
        <v>#REF!</v>
      </c>
      <c r="BD16" s="13" t="e">
        <f t="shared" ca="1" si="15"/>
        <v>#REF!</v>
      </c>
      <c r="BE16" s="28" t="e">
        <f ca="1">BD16-#REF!</f>
        <v>#REF!</v>
      </c>
      <c r="BF16" s="12" t="e">
        <f t="shared" ca="1" si="33"/>
        <v>#REF!</v>
      </c>
      <c r="BG16" s="22" t="e">
        <f ca="1">BF16-#REF!</f>
        <v>#REF!</v>
      </c>
      <c r="BH16" s="13" t="e">
        <f t="shared" ca="1" si="16"/>
        <v>#REF!</v>
      </c>
      <c r="BI16" s="22" t="e">
        <f ca="1">BH16-#REF!</f>
        <v>#REF!</v>
      </c>
      <c r="BJ16" s="13" t="e">
        <f t="shared" ca="1" si="17"/>
        <v>#REF!</v>
      </c>
      <c r="BK16" s="28" t="e">
        <f ca="1">BJ16-#REF!</f>
        <v>#REF!</v>
      </c>
      <c r="BL16" s="12" t="e">
        <f t="shared" ca="1" si="18"/>
        <v>#REF!</v>
      </c>
      <c r="BM16" s="22" t="e">
        <f ca="1">BL16-#REF!</f>
        <v>#REF!</v>
      </c>
      <c r="BN16" s="13" t="e">
        <f t="shared" ca="1" si="18"/>
        <v>#REF!</v>
      </c>
      <c r="BO16" s="22" t="e">
        <f ca="1">BN16-#REF!</f>
        <v>#REF!</v>
      </c>
      <c r="BP16" s="13" t="e">
        <f ca="1">T16-SUM(Z16,AF16,AL16,AR16,AX16,BD16,BJ16)</f>
        <v>#REF!</v>
      </c>
      <c r="BQ16" s="28" t="e">
        <f ca="1">BP16-#REF!</f>
        <v>#REF!</v>
      </c>
    </row>
    <row r="17" spans="1:69" ht="18.75" x14ac:dyDescent="0.25">
      <c r="A17" s="15" t="s">
        <v>102</v>
      </c>
      <c r="B17" s="24" t="s">
        <v>121</v>
      </c>
      <c r="C17" s="12" t="e">
        <f t="shared" ca="1" si="20"/>
        <v>#REF!</v>
      </c>
      <c r="D17" s="18" t="e">
        <f ca="1">C17-#REF!</f>
        <v>#REF!</v>
      </c>
      <c r="E17" s="13" t="e">
        <f t="shared" ca="1" si="1"/>
        <v>#REF!</v>
      </c>
      <c r="F17" s="18" t="e">
        <f ca="1">E17-#REF!</f>
        <v>#REF!</v>
      </c>
      <c r="G17" s="13" t="e">
        <f t="shared" ca="1" si="2"/>
        <v>#REF!</v>
      </c>
      <c r="H17" s="27" t="e">
        <f ca="1">G17-#REF!</f>
        <v>#REF!</v>
      </c>
      <c r="I17" s="12" t="e">
        <f t="shared" ca="1" si="21"/>
        <v>#REF!</v>
      </c>
      <c r="J17" s="18" t="e">
        <f ca="1">I17-#REF!</f>
        <v>#REF!</v>
      </c>
      <c r="K17" s="13" t="e">
        <f t="shared" ca="1" si="3"/>
        <v>#REF!</v>
      </c>
      <c r="L17" s="18" t="e">
        <f ca="1">K17-#REF!</f>
        <v>#REF!</v>
      </c>
      <c r="M17" s="13" t="e">
        <f t="shared" ca="1" si="4"/>
        <v>#REF!</v>
      </c>
      <c r="N17" s="27" t="e">
        <f ca="1">M17-#REF!</f>
        <v>#REF!</v>
      </c>
      <c r="O17" s="14" t="e">
        <f t="shared" ca="1" si="22"/>
        <v>#REF!</v>
      </c>
      <c r="P17" s="12" t="e">
        <f t="shared" ca="1" si="23"/>
        <v>#REF!</v>
      </c>
      <c r="Q17" s="18" t="e">
        <f ca="1">P17-#REF!</f>
        <v>#REF!</v>
      </c>
      <c r="R17" s="13" t="e">
        <f t="shared" ca="1" si="24"/>
        <v>#REF!</v>
      </c>
      <c r="S17" s="18" t="e">
        <f ca="1">R17-#REF!</f>
        <v>#REF!</v>
      </c>
      <c r="T17" s="13" t="e">
        <f t="shared" ca="1" si="25"/>
        <v>#REF!</v>
      </c>
      <c r="U17" s="27" t="e">
        <f ca="1">T17-#REF!</f>
        <v>#REF!</v>
      </c>
      <c r="V17" s="12" t="e">
        <f t="shared" ca="1" si="26"/>
        <v>#REF!</v>
      </c>
      <c r="W17" s="18" t="e">
        <f ca="1">V17-#REF!</f>
        <v>#REF!</v>
      </c>
      <c r="X17" s="13" t="e">
        <f t="shared" ca="1" si="27"/>
        <v>#REF!</v>
      </c>
      <c r="Y17" s="18" t="e">
        <f ca="1">X17-#REF!</f>
        <v>#REF!</v>
      </c>
      <c r="Z17" s="13" t="e">
        <f t="shared" ca="1" si="5"/>
        <v>#REF!</v>
      </c>
      <c r="AA17" s="27" t="e">
        <f ca="1">Z17-#REF!</f>
        <v>#REF!</v>
      </c>
      <c r="AB17" s="12" t="e">
        <f t="shared" ca="1" si="28"/>
        <v>#REF!</v>
      </c>
      <c r="AC17" s="18" t="e">
        <f ca="1">AB17-#REF!</f>
        <v>#REF!</v>
      </c>
      <c r="AD17" s="13" t="e">
        <f t="shared" ca="1" si="6"/>
        <v>#REF!</v>
      </c>
      <c r="AE17" s="18" t="e">
        <f ca="1">AD17-#REF!</f>
        <v>#REF!</v>
      </c>
      <c r="AF17" s="13" t="e">
        <f t="shared" ca="1" si="7"/>
        <v>#REF!</v>
      </c>
      <c r="AG17" s="27" t="e">
        <f ca="1">AF17-#REF!</f>
        <v>#REF!</v>
      </c>
      <c r="AH17" s="12" t="e">
        <f t="shared" ca="1" si="29"/>
        <v>#REF!</v>
      </c>
      <c r="AI17" s="18" t="e">
        <f ca="1">AH17-#REF!</f>
        <v>#REF!</v>
      </c>
      <c r="AJ17" s="13" t="e">
        <f t="shared" ca="1" si="8"/>
        <v>#REF!</v>
      </c>
      <c r="AK17" s="18" t="e">
        <f ca="1">AJ17-#REF!</f>
        <v>#REF!</v>
      </c>
      <c r="AL17" s="13" t="e">
        <f t="shared" ca="1" si="9"/>
        <v>#REF!</v>
      </c>
      <c r="AM17" s="27" t="e">
        <f ca="1">AL17-#REF!</f>
        <v>#REF!</v>
      </c>
      <c r="AN17" s="12" t="e">
        <f t="shared" ca="1" si="30"/>
        <v>#REF!</v>
      </c>
      <c r="AO17" s="18" t="e">
        <f ca="1">AN17-#REF!</f>
        <v>#REF!</v>
      </c>
      <c r="AP17" s="13" t="e">
        <f t="shared" ca="1" si="10"/>
        <v>#REF!</v>
      </c>
      <c r="AQ17" s="18" t="e">
        <f ca="1">AP17-#REF!</f>
        <v>#REF!</v>
      </c>
      <c r="AR17" s="13" t="e">
        <f t="shared" ca="1" si="11"/>
        <v>#REF!</v>
      </c>
      <c r="AS17" s="27" t="e">
        <f ca="1">AR17-#REF!</f>
        <v>#REF!</v>
      </c>
      <c r="AT17" s="12" t="e">
        <f t="shared" ca="1" si="31"/>
        <v>#REF!</v>
      </c>
      <c r="AU17" s="18" t="e">
        <f ca="1">AT17-#REF!</f>
        <v>#REF!</v>
      </c>
      <c r="AV17" s="13" t="e">
        <f t="shared" ca="1" si="12"/>
        <v>#REF!</v>
      </c>
      <c r="AW17" s="18" t="e">
        <f ca="1">AV17-#REF!</f>
        <v>#REF!</v>
      </c>
      <c r="AX17" s="13" t="e">
        <f t="shared" ca="1" si="13"/>
        <v>#REF!</v>
      </c>
      <c r="AY17" s="27" t="e">
        <f ca="1">AX17-#REF!</f>
        <v>#REF!</v>
      </c>
      <c r="AZ17" s="12" t="e">
        <f t="shared" ca="1" si="32"/>
        <v>#REF!</v>
      </c>
      <c r="BA17" s="18" t="e">
        <f ca="1">AZ17-#REF!</f>
        <v>#REF!</v>
      </c>
      <c r="BB17" s="13" t="e">
        <f t="shared" ca="1" si="14"/>
        <v>#REF!</v>
      </c>
      <c r="BC17" s="18" t="e">
        <f ca="1">BB17-#REF!</f>
        <v>#REF!</v>
      </c>
      <c r="BD17" s="13" t="e">
        <f t="shared" ca="1" si="15"/>
        <v>#REF!</v>
      </c>
      <c r="BE17" s="27" t="e">
        <f ca="1">BD17-#REF!</f>
        <v>#REF!</v>
      </c>
      <c r="BF17" s="12" t="e">
        <f t="shared" ca="1" si="33"/>
        <v>#REF!</v>
      </c>
      <c r="BG17" s="18" t="e">
        <f ca="1">BF17-#REF!</f>
        <v>#REF!</v>
      </c>
      <c r="BH17" s="13" t="e">
        <f t="shared" ca="1" si="16"/>
        <v>#REF!</v>
      </c>
      <c r="BI17" s="18" t="e">
        <f ca="1">BH17-#REF!</f>
        <v>#REF!</v>
      </c>
      <c r="BJ17" s="13" t="e">
        <f t="shared" ca="1" si="17"/>
        <v>#REF!</v>
      </c>
      <c r="BK17" s="27" t="e">
        <f ca="1">BJ17-#REF!</f>
        <v>#REF!</v>
      </c>
      <c r="BL17" s="12" t="e">
        <f t="shared" ca="1" si="18"/>
        <v>#REF!</v>
      </c>
      <c r="BM17" s="18" t="e">
        <f ca="1">BL17-#REF!</f>
        <v>#REF!</v>
      </c>
      <c r="BN17" s="13" t="e">
        <f t="shared" ca="1" si="18"/>
        <v>#REF!</v>
      </c>
      <c r="BO17" s="18" t="e">
        <f ca="1">BN17-#REF!</f>
        <v>#REF!</v>
      </c>
      <c r="BP17" s="13" t="e">
        <f t="shared" ref="BP17:BP28" ca="1" si="34">T17-SUM(Z17,AF17,AL17,AR17,AX17,BD17,BJ17)</f>
        <v>#REF!</v>
      </c>
      <c r="BQ17" s="28" t="e">
        <f ca="1">BP17-#REF!</f>
        <v>#REF!</v>
      </c>
    </row>
    <row r="18" spans="1:69" ht="18.75" x14ac:dyDescent="0.25">
      <c r="A18" s="15" t="s">
        <v>103</v>
      </c>
      <c r="B18" s="24" t="s">
        <v>122</v>
      </c>
      <c r="C18" s="12" t="e">
        <f t="shared" ca="1" si="20"/>
        <v>#REF!</v>
      </c>
      <c r="D18" s="18" t="e">
        <f ca="1">C18-#REF!</f>
        <v>#REF!</v>
      </c>
      <c r="E18" s="13" t="e">
        <f t="shared" ca="1" si="1"/>
        <v>#REF!</v>
      </c>
      <c r="F18" s="18" t="e">
        <f ca="1">E18-#REF!</f>
        <v>#REF!</v>
      </c>
      <c r="G18" s="13" t="e">
        <f t="shared" ca="1" si="2"/>
        <v>#REF!</v>
      </c>
      <c r="H18" s="27" t="e">
        <f ca="1">G18-#REF!</f>
        <v>#REF!</v>
      </c>
      <c r="I18" s="12" t="e">
        <f t="shared" ca="1" si="21"/>
        <v>#REF!</v>
      </c>
      <c r="J18" s="18" t="e">
        <f ca="1">I18-#REF!</f>
        <v>#REF!</v>
      </c>
      <c r="K18" s="13" t="e">
        <f t="shared" ca="1" si="3"/>
        <v>#REF!</v>
      </c>
      <c r="L18" s="18" t="e">
        <f ca="1">K18-#REF!</f>
        <v>#REF!</v>
      </c>
      <c r="M18" s="13" t="e">
        <f t="shared" ca="1" si="4"/>
        <v>#REF!</v>
      </c>
      <c r="N18" s="27" t="e">
        <f ca="1">M18-#REF!</f>
        <v>#REF!</v>
      </c>
      <c r="O18" s="14" t="e">
        <f t="shared" ca="1" si="22"/>
        <v>#REF!</v>
      </c>
      <c r="P18" s="12" t="e">
        <f t="shared" ca="1" si="23"/>
        <v>#REF!</v>
      </c>
      <c r="Q18" s="18" t="e">
        <f ca="1">P18-#REF!</f>
        <v>#REF!</v>
      </c>
      <c r="R18" s="13" t="e">
        <f t="shared" ca="1" si="24"/>
        <v>#REF!</v>
      </c>
      <c r="S18" s="18" t="e">
        <f ca="1">R18-#REF!</f>
        <v>#REF!</v>
      </c>
      <c r="T18" s="13" t="e">
        <f t="shared" ca="1" si="25"/>
        <v>#REF!</v>
      </c>
      <c r="U18" s="27" t="e">
        <f ca="1">T18-#REF!</f>
        <v>#REF!</v>
      </c>
      <c r="V18" s="12" t="e">
        <f t="shared" ca="1" si="26"/>
        <v>#REF!</v>
      </c>
      <c r="W18" s="18" t="e">
        <f ca="1">V18-#REF!</f>
        <v>#REF!</v>
      </c>
      <c r="X18" s="13" t="e">
        <f t="shared" ca="1" si="27"/>
        <v>#REF!</v>
      </c>
      <c r="Y18" s="18" t="e">
        <f ca="1">X18-#REF!</f>
        <v>#REF!</v>
      </c>
      <c r="Z18" s="13" t="e">
        <f t="shared" ca="1" si="5"/>
        <v>#REF!</v>
      </c>
      <c r="AA18" s="27" t="e">
        <f ca="1">Z18-#REF!</f>
        <v>#REF!</v>
      </c>
      <c r="AB18" s="12" t="e">
        <f t="shared" ca="1" si="28"/>
        <v>#REF!</v>
      </c>
      <c r="AC18" s="18" t="e">
        <f ca="1">AB18-#REF!</f>
        <v>#REF!</v>
      </c>
      <c r="AD18" s="13" t="e">
        <f t="shared" ca="1" si="6"/>
        <v>#REF!</v>
      </c>
      <c r="AE18" s="18" t="e">
        <f ca="1">AD18-#REF!</f>
        <v>#REF!</v>
      </c>
      <c r="AF18" s="13" t="e">
        <f t="shared" ca="1" si="7"/>
        <v>#REF!</v>
      </c>
      <c r="AG18" s="27" t="e">
        <f ca="1">AF18-#REF!</f>
        <v>#REF!</v>
      </c>
      <c r="AH18" s="12" t="e">
        <f t="shared" ca="1" si="29"/>
        <v>#REF!</v>
      </c>
      <c r="AI18" s="18" t="e">
        <f ca="1">AH18-#REF!</f>
        <v>#REF!</v>
      </c>
      <c r="AJ18" s="13" t="e">
        <f t="shared" ca="1" si="8"/>
        <v>#REF!</v>
      </c>
      <c r="AK18" s="18" t="e">
        <f ca="1">AJ18-#REF!</f>
        <v>#REF!</v>
      </c>
      <c r="AL18" s="13" t="e">
        <f t="shared" ca="1" si="9"/>
        <v>#REF!</v>
      </c>
      <c r="AM18" s="27" t="e">
        <f ca="1">AL18-#REF!</f>
        <v>#REF!</v>
      </c>
      <c r="AN18" s="12" t="e">
        <f t="shared" ca="1" si="30"/>
        <v>#REF!</v>
      </c>
      <c r="AO18" s="18" t="e">
        <f ca="1">AN18-#REF!</f>
        <v>#REF!</v>
      </c>
      <c r="AP18" s="13" t="e">
        <f t="shared" ca="1" si="10"/>
        <v>#REF!</v>
      </c>
      <c r="AQ18" s="18" t="e">
        <f ca="1">AP18-#REF!</f>
        <v>#REF!</v>
      </c>
      <c r="AR18" s="13" t="e">
        <f t="shared" ca="1" si="11"/>
        <v>#REF!</v>
      </c>
      <c r="AS18" s="27" t="e">
        <f ca="1">AR18-#REF!</f>
        <v>#REF!</v>
      </c>
      <c r="AT18" s="12" t="e">
        <f t="shared" ca="1" si="31"/>
        <v>#REF!</v>
      </c>
      <c r="AU18" s="18" t="e">
        <f ca="1">AT18-#REF!</f>
        <v>#REF!</v>
      </c>
      <c r="AV18" s="13" t="e">
        <f t="shared" ca="1" si="12"/>
        <v>#REF!</v>
      </c>
      <c r="AW18" s="18" t="e">
        <f ca="1">AV18-#REF!</f>
        <v>#REF!</v>
      </c>
      <c r="AX18" s="13" t="e">
        <f t="shared" ca="1" si="13"/>
        <v>#REF!</v>
      </c>
      <c r="AY18" s="27" t="e">
        <f ca="1">AX18-#REF!</f>
        <v>#REF!</v>
      </c>
      <c r="AZ18" s="12" t="e">
        <f t="shared" ca="1" si="32"/>
        <v>#REF!</v>
      </c>
      <c r="BA18" s="18" t="e">
        <f ca="1">AZ18-#REF!</f>
        <v>#REF!</v>
      </c>
      <c r="BB18" s="13" t="e">
        <f t="shared" ca="1" si="14"/>
        <v>#REF!</v>
      </c>
      <c r="BC18" s="18" t="e">
        <f ca="1">BB18-#REF!</f>
        <v>#REF!</v>
      </c>
      <c r="BD18" s="13" t="e">
        <f t="shared" ca="1" si="15"/>
        <v>#REF!</v>
      </c>
      <c r="BE18" s="27" t="e">
        <f ca="1">BD18-#REF!</f>
        <v>#REF!</v>
      </c>
      <c r="BF18" s="12" t="e">
        <f t="shared" ca="1" si="33"/>
        <v>#REF!</v>
      </c>
      <c r="BG18" s="18" t="e">
        <f ca="1">BF18-#REF!</f>
        <v>#REF!</v>
      </c>
      <c r="BH18" s="13" t="e">
        <f t="shared" ca="1" si="16"/>
        <v>#REF!</v>
      </c>
      <c r="BI18" s="18" t="e">
        <f ca="1">BH18-#REF!</f>
        <v>#REF!</v>
      </c>
      <c r="BJ18" s="13" t="e">
        <f t="shared" ca="1" si="17"/>
        <v>#REF!</v>
      </c>
      <c r="BK18" s="27" t="e">
        <f ca="1">BJ18-#REF!</f>
        <v>#REF!</v>
      </c>
      <c r="BL18" s="12" t="e">
        <f t="shared" ca="1" si="18"/>
        <v>#REF!</v>
      </c>
      <c r="BM18" s="18" t="e">
        <f ca="1">BL18-#REF!</f>
        <v>#REF!</v>
      </c>
      <c r="BN18" s="13" t="e">
        <f t="shared" ca="1" si="18"/>
        <v>#REF!</v>
      </c>
      <c r="BO18" s="18" t="e">
        <f ca="1">BN18-#REF!</f>
        <v>#REF!</v>
      </c>
      <c r="BP18" s="13" t="e">
        <f t="shared" ca="1" si="34"/>
        <v>#REF!</v>
      </c>
      <c r="BQ18" s="28" t="e">
        <f ca="1">BP18-#REF!</f>
        <v>#REF!</v>
      </c>
    </row>
    <row r="19" spans="1:69" ht="18.75" x14ac:dyDescent="0.25">
      <c r="A19" s="15" t="s">
        <v>104</v>
      </c>
      <c r="B19" s="24" t="s">
        <v>123</v>
      </c>
      <c r="C19" s="12" t="e">
        <f t="shared" ca="1" si="20"/>
        <v>#REF!</v>
      </c>
      <c r="D19" s="18" t="e">
        <f ca="1">C19-#REF!</f>
        <v>#REF!</v>
      </c>
      <c r="E19" s="13" t="e">
        <f t="shared" ca="1" si="1"/>
        <v>#REF!</v>
      </c>
      <c r="F19" s="18" t="e">
        <f ca="1">E19-#REF!</f>
        <v>#REF!</v>
      </c>
      <c r="G19" s="13" t="e">
        <f t="shared" ca="1" si="2"/>
        <v>#REF!</v>
      </c>
      <c r="H19" s="27" t="e">
        <f ca="1">G19-#REF!</f>
        <v>#REF!</v>
      </c>
      <c r="I19" s="12" t="e">
        <f t="shared" ca="1" si="21"/>
        <v>#REF!</v>
      </c>
      <c r="J19" s="18" t="e">
        <f ca="1">I19-#REF!</f>
        <v>#REF!</v>
      </c>
      <c r="K19" s="13" t="e">
        <f t="shared" ca="1" si="3"/>
        <v>#REF!</v>
      </c>
      <c r="L19" s="18" t="e">
        <f ca="1">K19-#REF!</f>
        <v>#REF!</v>
      </c>
      <c r="M19" s="13" t="e">
        <f t="shared" ca="1" si="4"/>
        <v>#REF!</v>
      </c>
      <c r="N19" s="27" t="e">
        <f ca="1">M19-#REF!</f>
        <v>#REF!</v>
      </c>
      <c r="O19" s="14" t="e">
        <f t="shared" ca="1" si="22"/>
        <v>#REF!</v>
      </c>
      <c r="P19" s="12" t="e">
        <f t="shared" ca="1" si="23"/>
        <v>#REF!</v>
      </c>
      <c r="Q19" s="18" t="e">
        <f ca="1">P19-#REF!</f>
        <v>#REF!</v>
      </c>
      <c r="R19" s="13" t="e">
        <f t="shared" ca="1" si="24"/>
        <v>#REF!</v>
      </c>
      <c r="S19" s="18" t="e">
        <f ca="1">R19-#REF!</f>
        <v>#REF!</v>
      </c>
      <c r="T19" s="13" t="e">
        <f t="shared" ca="1" si="25"/>
        <v>#REF!</v>
      </c>
      <c r="U19" s="27" t="e">
        <f ca="1">T19-#REF!</f>
        <v>#REF!</v>
      </c>
      <c r="V19" s="12" t="e">
        <f t="shared" ca="1" si="26"/>
        <v>#REF!</v>
      </c>
      <c r="W19" s="18" t="e">
        <f ca="1">V19-#REF!</f>
        <v>#REF!</v>
      </c>
      <c r="X19" s="13" t="e">
        <f t="shared" ca="1" si="27"/>
        <v>#REF!</v>
      </c>
      <c r="Y19" s="18" t="e">
        <f ca="1">X19-#REF!</f>
        <v>#REF!</v>
      </c>
      <c r="Z19" s="13" t="e">
        <f t="shared" ca="1" si="5"/>
        <v>#REF!</v>
      </c>
      <c r="AA19" s="27" t="e">
        <f ca="1">Z19-#REF!</f>
        <v>#REF!</v>
      </c>
      <c r="AB19" s="12" t="e">
        <f t="shared" ca="1" si="28"/>
        <v>#REF!</v>
      </c>
      <c r="AC19" s="18" t="e">
        <f ca="1">AB19-#REF!</f>
        <v>#REF!</v>
      </c>
      <c r="AD19" s="13" t="e">
        <f t="shared" ca="1" si="6"/>
        <v>#REF!</v>
      </c>
      <c r="AE19" s="18" t="e">
        <f ca="1">AD19-#REF!</f>
        <v>#REF!</v>
      </c>
      <c r="AF19" s="13" t="e">
        <f t="shared" ca="1" si="7"/>
        <v>#REF!</v>
      </c>
      <c r="AG19" s="27" t="e">
        <f ca="1">AF19-#REF!</f>
        <v>#REF!</v>
      </c>
      <c r="AH19" s="12" t="e">
        <f t="shared" ca="1" si="29"/>
        <v>#REF!</v>
      </c>
      <c r="AI19" s="18" t="e">
        <f ca="1">AH19-#REF!</f>
        <v>#REF!</v>
      </c>
      <c r="AJ19" s="13" t="e">
        <f t="shared" ca="1" si="8"/>
        <v>#REF!</v>
      </c>
      <c r="AK19" s="18" t="e">
        <f ca="1">AJ19-#REF!</f>
        <v>#REF!</v>
      </c>
      <c r="AL19" s="13" t="e">
        <f t="shared" ca="1" si="9"/>
        <v>#REF!</v>
      </c>
      <c r="AM19" s="27" t="e">
        <f ca="1">AL19-#REF!</f>
        <v>#REF!</v>
      </c>
      <c r="AN19" s="12" t="e">
        <f t="shared" ca="1" si="30"/>
        <v>#REF!</v>
      </c>
      <c r="AO19" s="18" t="e">
        <f ca="1">AN19-#REF!</f>
        <v>#REF!</v>
      </c>
      <c r="AP19" s="13" t="e">
        <f t="shared" ca="1" si="10"/>
        <v>#REF!</v>
      </c>
      <c r="AQ19" s="18" t="e">
        <f ca="1">AP19-#REF!</f>
        <v>#REF!</v>
      </c>
      <c r="AR19" s="13" t="e">
        <f t="shared" ca="1" si="11"/>
        <v>#REF!</v>
      </c>
      <c r="AS19" s="27" t="e">
        <f ca="1">AR19-#REF!</f>
        <v>#REF!</v>
      </c>
      <c r="AT19" s="12" t="e">
        <f t="shared" ca="1" si="31"/>
        <v>#REF!</v>
      </c>
      <c r="AU19" s="18" t="e">
        <f ca="1">AT19-#REF!</f>
        <v>#REF!</v>
      </c>
      <c r="AV19" s="13" t="e">
        <f t="shared" ca="1" si="12"/>
        <v>#REF!</v>
      </c>
      <c r="AW19" s="18" t="e">
        <f ca="1">AV19-#REF!</f>
        <v>#REF!</v>
      </c>
      <c r="AX19" s="13" t="e">
        <f t="shared" ca="1" si="13"/>
        <v>#REF!</v>
      </c>
      <c r="AY19" s="27" t="e">
        <f ca="1">AX19-#REF!</f>
        <v>#REF!</v>
      </c>
      <c r="AZ19" s="12" t="e">
        <f t="shared" ca="1" si="32"/>
        <v>#REF!</v>
      </c>
      <c r="BA19" s="18" t="e">
        <f ca="1">AZ19-#REF!</f>
        <v>#REF!</v>
      </c>
      <c r="BB19" s="13" t="e">
        <f t="shared" ca="1" si="14"/>
        <v>#REF!</v>
      </c>
      <c r="BC19" s="18" t="e">
        <f ca="1">BB19-#REF!</f>
        <v>#REF!</v>
      </c>
      <c r="BD19" s="13" t="e">
        <f t="shared" ca="1" si="15"/>
        <v>#REF!</v>
      </c>
      <c r="BE19" s="27" t="e">
        <f ca="1">BD19-#REF!</f>
        <v>#REF!</v>
      </c>
      <c r="BF19" s="12" t="e">
        <f t="shared" ca="1" si="33"/>
        <v>#REF!</v>
      </c>
      <c r="BG19" s="18" t="e">
        <f ca="1">BF19-#REF!</f>
        <v>#REF!</v>
      </c>
      <c r="BH19" s="13" t="e">
        <f t="shared" ca="1" si="16"/>
        <v>#REF!</v>
      </c>
      <c r="BI19" s="18" t="e">
        <f ca="1">BH19-#REF!</f>
        <v>#REF!</v>
      </c>
      <c r="BJ19" s="13" t="e">
        <f t="shared" ca="1" si="17"/>
        <v>#REF!</v>
      </c>
      <c r="BK19" s="27" t="e">
        <f ca="1">BJ19-#REF!</f>
        <v>#REF!</v>
      </c>
      <c r="BL19" s="12" t="e">
        <f t="shared" ca="1" si="18"/>
        <v>#REF!</v>
      </c>
      <c r="BM19" s="18" t="e">
        <f ca="1">BL19-#REF!</f>
        <v>#REF!</v>
      </c>
      <c r="BN19" s="13" t="e">
        <f t="shared" ca="1" si="18"/>
        <v>#REF!</v>
      </c>
      <c r="BO19" s="18" t="e">
        <f ca="1">BN19-#REF!</f>
        <v>#REF!</v>
      </c>
      <c r="BP19" s="13" t="e">
        <f t="shared" ca="1" si="34"/>
        <v>#REF!</v>
      </c>
      <c r="BQ19" s="28" t="e">
        <f ca="1">BP19-#REF!</f>
        <v>#REF!</v>
      </c>
    </row>
    <row r="20" spans="1:69" ht="18.75" x14ac:dyDescent="0.25">
      <c r="A20" s="15" t="s">
        <v>105</v>
      </c>
      <c r="B20" s="24" t="s">
        <v>124</v>
      </c>
      <c r="C20" s="12" t="e">
        <f t="shared" ca="1" si="20"/>
        <v>#REF!</v>
      </c>
      <c r="D20" s="18" t="e">
        <f ca="1">C20-#REF!</f>
        <v>#REF!</v>
      </c>
      <c r="E20" s="13" t="e">
        <f t="shared" ca="1" si="1"/>
        <v>#REF!</v>
      </c>
      <c r="F20" s="18" t="e">
        <f ca="1">E20-#REF!</f>
        <v>#REF!</v>
      </c>
      <c r="G20" s="13" t="e">
        <f t="shared" ca="1" si="2"/>
        <v>#REF!</v>
      </c>
      <c r="H20" s="27" t="e">
        <f ca="1">G20-#REF!</f>
        <v>#REF!</v>
      </c>
      <c r="I20" s="12" t="e">
        <f t="shared" ca="1" si="21"/>
        <v>#REF!</v>
      </c>
      <c r="J20" s="18" t="e">
        <f ca="1">I20-#REF!</f>
        <v>#REF!</v>
      </c>
      <c r="K20" s="13" t="e">
        <f t="shared" ca="1" si="3"/>
        <v>#REF!</v>
      </c>
      <c r="L20" s="18" t="e">
        <f ca="1">K20-#REF!</f>
        <v>#REF!</v>
      </c>
      <c r="M20" s="13" t="e">
        <f t="shared" ca="1" si="4"/>
        <v>#REF!</v>
      </c>
      <c r="N20" s="27" t="e">
        <f ca="1">M20-#REF!</f>
        <v>#REF!</v>
      </c>
      <c r="O20" s="14" t="e">
        <f t="shared" ca="1" si="22"/>
        <v>#REF!</v>
      </c>
      <c r="P20" s="12" t="e">
        <f t="shared" ca="1" si="23"/>
        <v>#REF!</v>
      </c>
      <c r="Q20" s="18" t="e">
        <f ca="1">P20-#REF!</f>
        <v>#REF!</v>
      </c>
      <c r="R20" s="13" t="e">
        <f t="shared" ca="1" si="24"/>
        <v>#REF!</v>
      </c>
      <c r="S20" s="18" t="e">
        <f ca="1">R20-#REF!</f>
        <v>#REF!</v>
      </c>
      <c r="T20" s="13" t="e">
        <f t="shared" ca="1" si="25"/>
        <v>#REF!</v>
      </c>
      <c r="U20" s="27" t="e">
        <f ca="1">T20-#REF!</f>
        <v>#REF!</v>
      </c>
      <c r="V20" s="12" t="e">
        <f t="shared" ca="1" si="26"/>
        <v>#REF!</v>
      </c>
      <c r="W20" s="18" t="e">
        <f ca="1">V20-#REF!</f>
        <v>#REF!</v>
      </c>
      <c r="X20" s="13" t="e">
        <f t="shared" ca="1" si="27"/>
        <v>#REF!</v>
      </c>
      <c r="Y20" s="18" t="e">
        <f ca="1">X20-#REF!</f>
        <v>#REF!</v>
      </c>
      <c r="Z20" s="13" t="e">
        <f t="shared" ca="1" si="5"/>
        <v>#REF!</v>
      </c>
      <c r="AA20" s="27" t="e">
        <f ca="1">Z20-#REF!</f>
        <v>#REF!</v>
      </c>
      <c r="AB20" s="12" t="e">
        <f t="shared" ca="1" si="28"/>
        <v>#REF!</v>
      </c>
      <c r="AC20" s="18" t="e">
        <f ca="1">AB20-#REF!</f>
        <v>#REF!</v>
      </c>
      <c r="AD20" s="13" t="e">
        <f t="shared" ca="1" si="6"/>
        <v>#REF!</v>
      </c>
      <c r="AE20" s="18" t="e">
        <f ca="1">AD20-#REF!</f>
        <v>#REF!</v>
      </c>
      <c r="AF20" s="13" t="e">
        <f t="shared" ca="1" si="7"/>
        <v>#REF!</v>
      </c>
      <c r="AG20" s="27" t="e">
        <f ca="1">AF20-#REF!</f>
        <v>#REF!</v>
      </c>
      <c r="AH20" s="12" t="e">
        <f t="shared" ca="1" si="29"/>
        <v>#REF!</v>
      </c>
      <c r="AI20" s="18" t="e">
        <f ca="1">AH20-#REF!</f>
        <v>#REF!</v>
      </c>
      <c r="AJ20" s="13" t="e">
        <f t="shared" ca="1" si="8"/>
        <v>#REF!</v>
      </c>
      <c r="AK20" s="18" t="e">
        <f ca="1">AJ20-#REF!</f>
        <v>#REF!</v>
      </c>
      <c r="AL20" s="13" t="e">
        <f t="shared" ca="1" si="9"/>
        <v>#REF!</v>
      </c>
      <c r="AM20" s="27" t="e">
        <f ca="1">AL20-#REF!</f>
        <v>#REF!</v>
      </c>
      <c r="AN20" s="12" t="e">
        <f t="shared" ca="1" si="30"/>
        <v>#REF!</v>
      </c>
      <c r="AO20" s="18" t="e">
        <f ca="1">AN20-#REF!</f>
        <v>#REF!</v>
      </c>
      <c r="AP20" s="13" t="e">
        <f t="shared" ca="1" si="10"/>
        <v>#REF!</v>
      </c>
      <c r="AQ20" s="18" t="e">
        <f ca="1">AP20-#REF!</f>
        <v>#REF!</v>
      </c>
      <c r="AR20" s="13" t="e">
        <f t="shared" ca="1" si="11"/>
        <v>#REF!</v>
      </c>
      <c r="AS20" s="27" t="e">
        <f ca="1">AR20-#REF!</f>
        <v>#REF!</v>
      </c>
      <c r="AT20" s="12" t="e">
        <f t="shared" ca="1" si="31"/>
        <v>#REF!</v>
      </c>
      <c r="AU20" s="18" t="e">
        <f ca="1">AT20-#REF!</f>
        <v>#REF!</v>
      </c>
      <c r="AV20" s="13" t="e">
        <f t="shared" ca="1" si="12"/>
        <v>#REF!</v>
      </c>
      <c r="AW20" s="18" t="e">
        <f ca="1">AV20-#REF!</f>
        <v>#REF!</v>
      </c>
      <c r="AX20" s="13" t="e">
        <f t="shared" ca="1" si="13"/>
        <v>#REF!</v>
      </c>
      <c r="AY20" s="27" t="e">
        <f ca="1">AX20-#REF!</f>
        <v>#REF!</v>
      </c>
      <c r="AZ20" s="12" t="e">
        <f t="shared" ca="1" si="32"/>
        <v>#REF!</v>
      </c>
      <c r="BA20" s="18" t="e">
        <f ca="1">AZ20-#REF!</f>
        <v>#REF!</v>
      </c>
      <c r="BB20" s="13" t="e">
        <f t="shared" ca="1" si="14"/>
        <v>#REF!</v>
      </c>
      <c r="BC20" s="18" t="e">
        <f ca="1">BB20-#REF!</f>
        <v>#REF!</v>
      </c>
      <c r="BD20" s="13" t="e">
        <f t="shared" ca="1" si="15"/>
        <v>#REF!</v>
      </c>
      <c r="BE20" s="27" t="e">
        <f ca="1">BD20-#REF!</f>
        <v>#REF!</v>
      </c>
      <c r="BF20" s="12" t="e">
        <f t="shared" ca="1" si="33"/>
        <v>#REF!</v>
      </c>
      <c r="BG20" s="18" t="e">
        <f ca="1">BF20-#REF!</f>
        <v>#REF!</v>
      </c>
      <c r="BH20" s="13" t="e">
        <f t="shared" ca="1" si="16"/>
        <v>#REF!</v>
      </c>
      <c r="BI20" s="18" t="e">
        <f ca="1">BH20-#REF!</f>
        <v>#REF!</v>
      </c>
      <c r="BJ20" s="13" t="e">
        <f t="shared" ca="1" si="17"/>
        <v>#REF!</v>
      </c>
      <c r="BK20" s="27" t="e">
        <f ca="1">BJ20-#REF!</f>
        <v>#REF!</v>
      </c>
      <c r="BL20" s="12" t="e">
        <f t="shared" ca="1" si="18"/>
        <v>#REF!</v>
      </c>
      <c r="BM20" s="18" t="e">
        <f ca="1">BL20-#REF!</f>
        <v>#REF!</v>
      </c>
      <c r="BN20" s="13" t="e">
        <f t="shared" ca="1" si="18"/>
        <v>#REF!</v>
      </c>
      <c r="BO20" s="18" t="e">
        <f ca="1">BN20-#REF!</f>
        <v>#REF!</v>
      </c>
      <c r="BP20" s="13" t="e">
        <f t="shared" ca="1" si="34"/>
        <v>#REF!</v>
      </c>
      <c r="BQ20" s="28" t="e">
        <f ca="1">BP20-#REF!</f>
        <v>#REF!</v>
      </c>
    </row>
    <row r="21" spans="1:69" ht="18.75" x14ac:dyDescent="0.25">
      <c r="A21" s="15" t="s">
        <v>106</v>
      </c>
      <c r="B21" s="24" t="s">
        <v>125</v>
      </c>
      <c r="C21" s="12" t="e">
        <f t="shared" ca="1" si="20"/>
        <v>#REF!</v>
      </c>
      <c r="D21" s="18" t="e">
        <f ca="1">C21-#REF!</f>
        <v>#REF!</v>
      </c>
      <c r="E21" s="13" t="e">
        <f t="shared" ca="1" si="1"/>
        <v>#REF!</v>
      </c>
      <c r="F21" s="18" t="e">
        <f ca="1">E21-#REF!</f>
        <v>#REF!</v>
      </c>
      <c r="G21" s="13" t="e">
        <f t="shared" ca="1" si="2"/>
        <v>#REF!</v>
      </c>
      <c r="H21" s="27" t="e">
        <f ca="1">G21-#REF!</f>
        <v>#REF!</v>
      </c>
      <c r="I21" s="12" t="e">
        <f t="shared" ca="1" si="21"/>
        <v>#REF!</v>
      </c>
      <c r="J21" s="18" t="e">
        <f ca="1">I21-#REF!</f>
        <v>#REF!</v>
      </c>
      <c r="K21" s="13" t="e">
        <f t="shared" ca="1" si="3"/>
        <v>#REF!</v>
      </c>
      <c r="L21" s="18" t="e">
        <f ca="1">K21-#REF!</f>
        <v>#REF!</v>
      </c>
      <c r="M21" s="13" t="e">
        <f t="shared" ca="1" si="4"/>
        <v>#REF!</v>
      </c>
      <c r="N21" s="27" t="e">
        <f ca="1">M21-#REF!</f>
        <v>#REF!</v>
      </c>
      <c r="O21" s="14" t="e">
        <f t="shared" ca="1" si="22"/>
        <v>#REF!</v>
      </c>
      <c r="P21" s="12" t="e">
        <f t="shared" ca="1" si="23"/>
        <v>#REF!</v>
      </c>
      <c r="Q21" s="18" t="e">
        <f ca="1">P21-#REF!</f>
        <v>#REF!</v>
      </c>
      <c r="R21" s="13" t="e">
        <f t="shared" ca="1" si="24"/>
        <v>#REF!</v>
      </c>
      <c r="S21" s="18" t="e">
        <f ca="1">R21-#REF!</f>
        <v>#REF!</v>
      </c>
      <c r="T21" s="13" t="e">
        <f t="shared" ca="1" si="25"/>
        <v>#REF!</v>
      </c>
      <c r="U21" s="27" t="e">
        <f ca="1">T21-#REF!</f>
        <v>#REF!</v>
      </c>
      <c r="V21" s="12" t="e">
        <f t="shared" ca="1" si="26"/>
        <v>#REF!</v>
      </c>
      <c r="W21" s="18" t="e">
        <f ca="1">V21-#REF!</f>
        <v>#REF!</v>
      </c>
      <c r="X21" s="13" t="e">
        <f t="shared" ca="1" si="27"/>
        <v>#REF!</v>
      </c>
      <c r="Y21" s="18" t="e">
        <f ca="1">X21-#REF!</f>
        <v>#REF!</v>
      </c>
      <c r="Z21" s="13" t="e">
        <f t="shared" ca="1" si="5"/>
        <v>#REF!</v>
      </c>
      <c r="AA21" s="27" t="e">
        <f ca="1">Z21-#REF!</f>
        <v>#REF!</v>
      </c>
      <c r="AB21" s="12" t="e">
        <f t="shared" ca="1" si="28"/>
        <v>#REF!</v>
      </c>
      <c r="AC21" s="18" t="e">
        <f ca="1">AB21-#REF!</f>
        <v>#REF!</v>
      </c>
      <c r="AD21" s="13" t="e">
        <f t="shared" ca="1" si="6"/>
        <v>#REF!</v>
      </c>
      <c r="AE21" s="18" t="e">
        <f ca="1">AD21-#REF!</f>
        <v>#REF!</v>
      </c>
      <c r="AF21" s="13" t="e">
        <f t="shared" ca="1" si="7"/>
        <v>#REF!</v>
      </c>
      <c r="AG21" s="27" t="e">
        <f ca="1">AF21-#REF!</f>
        <v>#REF!</v>
      </c>
      <c r="AH21" s="12" t="e">
        <f t="shared" ca="1" si="29"/>
        <v>#REF!</v>
      </c>
      <c r="AI21" s="18" t="e">
        <f ca="1">AH21-#REF!</f>
        <v>#REF!</v>
      </c>
      <c r="AJ21" s="13" t="e">
        <f t="shared" ca="1" si="8"/>
        <v>#REF!</v>
      </c>
      <c r="AK21" s="18" t="e">
        <f ca="1">AJ21-#REF!</f>
        <v>#REF!</v>
      </c>
      <c r="AL21" s="13" t="e">
        <f t="shared" ca="1" si="9"/>
        <v>#REF!</v>
      </c>
      <c r="AM21" s="27" t="e">
        <f ca="1">AL21-#REF!</f>
        <v>#REF!</v>
      </c>
      <c r="AN21" s="12" t="e">
        <f t="shared" ca="1" si="30"/>
        <v>#REF!</v>
      </c>
      <c r="AO21" s="18" t="e">
        <f ca="1">AN21-#REF!</f>
        <v>#REF!</v>
      </c>
      <c r="AP21" s="13" t="e">
        <f t="shared" ca="1" si="10"/>
        <v>#REF!</v>
      </c>
      <c r="AQ21" s="18" t="e">
        <f ca="1">AP21-#REF!</f>
        <v>#REF!</v>
      </c>
      <c r="AR21" s="13" t="e">
        <f t="shared" ca="1" si="11"/>
        <v>#REF!</v>
      </c>
      <c r="AS21" s="27" t="e">
        <f ca="1">AR21-#REF!</f>
        <v>#REF!</v>
      </c>
      <c r="AT21" s="12" t="e">
        <f t="shared" ca="1" si="31"/>
        <v>#REF!</v>
      </c>
      <c r="AU21" s="18" t="e">
        <f ca="1">AT21-#REF!</f>
        <v>#REF!</v>
      </c>
      <c r="AV21" s="13" t="e">
        <f t="shared" ca="1" si="12"/>
        <v>#REF!</v>
      </c>
      <c r="AW21" s="18" t="e">
        <f ca="1">AV21-#REF!</f>
        <v>#REF!</v>
      </c>
      <c r="AX21" s="13" t="e">
        <f t="shared" ca="1" si="13"/>
        <v>#REF!</v>
      </c>
      <c r="AY21" s="27" t="e">
        <f ca="1">AX21-#REF!</f>
        <v>#REF!</v>
      </c>
      <c r="AZ21" s="12" t="e">
        <f t="shared" ca="1" si="32"/>
        <v>#REF!</v>
      </c>
      <c r="BA21" s="18" t="e">
        <f ca="1">AZ21-#REF!</f>
        <v>#REF!</v>
      </c>
      <c r="BB21" s="13" t="e">
        <f t="shared" ca="1" si="14"/>
        <v>#REF!</v>
      </c>
      <c r="BC21" s="18" t="e">
        <f ca="1">BB21-#REF!</f>
        <v>#REF!</v>
      </c>
      <c r="BD21" s="13" t="e">
        <f t="shared" ca="1" si="15"/>
        <v>#REF!</v>
      </c>
      <c r="BE21" s="27" t="e">
        <f ca="1">BD21-#REF!</f>
        <v>#REF!</v>
      </c>
      <c r="BF21" s="12" t="e">
        <f t="shared" ca="1" si="33"/>
        <v>#REF!</v>
      </c>
      <c r="BG21" s="18" t="e">
        <f ca="1">BF21-#REF!</f>
        <v>#REF!</v>
      </c>
      <c r="BH21" s="13" t="e">
        <f t="shared" ca="1" si="16"/>
        <v>#REF!</v>
      </c>
      <c r="BI21" s="18" t="e">
        <f ca="1">BH21-#REF!</f>
        <v>#REF!</v>
      </c>
      <c r="BJ21" s="13" t="e">
        <f t="shared" ca="1" si="17"/>
        <v>#REF!</v>
      </c>
      <c r="BK21" s="27" t="e">
        <f ca="1">BJ21-#REF!</f>
        <v>#REF!</v>
      </c>
      <c r="BL21" s="12" t="e">
        <f t="shared" ca="1" si="18"/>
        <v>#REF!</v>
      </c>
      <c r="BM21" s="18" t="e">
        <f ca="1">BL21-#REF!</f>
        <v>#REF!</v>
      </c>
      <c r="BN21" s="13" t="e">
        <f t="shared" ca="1" si="18"/>
        <v>#REF!</v>
      </c>
      <c r="BO21" s="18" t="e">
        <f ca="1">BN21-#REF!</f>
        <v>#REF!</v>
      </c>
      <c r="BP21" s="13" t="e">
        <f t="shared" ca="1" si="34"/>
        <v>#REF!</v>
      </c>
      <c r="BQ21" s="28" t="e">
        <f ca="1">BP21-#REF!</f>
        <v>#REF!</v>
      </c>
    </row>
    <row r="22" spans="1:69" ht="18.75" x14ac:dyDescent="0.25">
      <c r="A22" s="15" t="s">
        <v>107</v>
      </c>
      <c r="B22" s="24" t="s">
        <v>126</v>
      </c>
      <c r="C22" s="12" t="e">
        <f t="shared" ca="1" si="20"/>
        <v>#REF!</v>
      </c>
      <c r="D22" s="18" t="e">
        <f ca="1">C22-#REF!</f>
        <v>#REF!</v>
      </c>
      <c r="E22" s="13" t="e">
        <f t="shared" ca="1" si="1"/>
        <v>#REF!</v>
      </c>
      <c r="F22" s="18" t="e">
        <f ca="1">E22-#REF!</f>
        <v>#REF!</v>
      </c>
      <c r="G22" s="13" t="e">
        <f t="shared" ca="1" si="2"/>
        <v>#REF!</v>
      </c>
      <c r="H22" s="27" t="e">
        <f ca="1">G22-#REF!</f>
        <v>#REF!</v>
      </c>
      <c r="I22" s="12" t="e">
        <f t="shared" ca="1" si="21"/>
        <v>#REF!</v>
      </c>
      <c r="J22" s="18" t="e">
        <f ca="1">I22-#REF!</f>
        <v>#REF!</v>
      </c>
      <c r="K22" s="13" t="e">
        <f t="shared" ca="1" si="3"/>
        <v>#REF!</v>
      </c>
      <c r="L22" s="18" t="e">
        <f ca="1">K22-#REF!</f>
        <v>#REF!</v>
      </c>
      <c r="M22" s="13" t="e">
        <f t="shared" ca="1" si="4"/>
        <v>#REF!</v>
      </c>
      <c r="N22" s="27" t="e">
        <f ca="1">M22-#REF!</f>
        <v>#REF!</v>
      </c>
      <c r="O22" s="14" t="e">
        <f t="shared" ca="1" si="22"/>
        <v>#REF!</v>
      </c>
      <c r="P22" s="12" t="e">
        <f t="shared" ca="1" si="23"/>
        <v>#REF!</v>
      </c>
      <c r="Q22" s="18" t="e">
        <f ca="1">P22-#REF!</f>
        <v>#REF!</v>
      </c>
      <c r="R22" s="13" t="e">
        <f t="shared" ca="1" si="24"/>
        <v>#REF!</v>
      </c>
      <c r="S22" s="18" t="e">
        <f ca="1">R22-#REF!</f>
        <v>#REF!</v>
      </c>
      <c r="T22" s="13" t="e">
        <f t="shared" ca="1" si="25"/>
        <v>#REF!</v>
      </c>
      <c r="U22" s="27" t="e">
        <f ca="1">T22-#REF!</f>
        <v>#REF!</v>
      </c>
      <c r="V22" s="12" t="e">
        <f t="shared" ca="1" si="26"/>
        <v>#REF!</v>
      </c>
      <c r="W22" s="18" t="e">
        <f ca="1">V22-#REF!</f>
        <v>#REF!</v>
      </c>
      <c r="X22" s="13" t="e">
        <f t="shared" ca="1" si="27"/>
        <v>#REF!</v>
      </c>
      <c r="Y22" s="18" t="e">
        <f ca="1">X22-#REF!</f>
        <v>#REF!</v>
      </c>
      <c r="Z22" s="13" t="e">
        <f t="shared" ca="1" si="5"/>
        <v>#REF!</v>
      </c>
      <c r="AA22" s="27" t="e">
        <f ca="1">Z22-#REF!</f>
        <v>#REF!</v>
      </c>
      <c r="AB22" s="12" t="e">
        <f t="shared" ca="1" si="28"/>
        <v>#REF!</v>
      </c>
      <c r="AC22" s="18" t="e">
        <f ca="1">AB22-#REF!</f>
        <v>#REF!</v>
      </c>
      <c r="AD22" s="13" t="e">
        <f t="shared" ca="1" si="6"/>
        <v>#REF!</v>
      </c>
      <c r="AE22" s="18" t="e">
        <f ca="1">AD22-#REF!</f>
        <v>#REF!</v>
      </c>
      <c r="AF22" s="13" t="e">
        <f t="shared" ca="1" si="7"/>
        <v>#REF!</v>
      </c>
      <c r="AG22" s="27" t="e">
        <f ca="1">AF22-#REF!</f>
        <v>#REF!</v>
      </c>
      <c r="AH22" s="12" t="e">
        <f t="shared" ca="1" si="29"/>
        <v>#REF!</v>
      </c>
      <c r="AI22" s="18" t="e">
        <f ca="1">AH22-#REF!</f>
        <v>#REF!</v>
      </c>
      <c r="AJ22" s="13" t="e">
        <f t="shared" ca="1" si="8"/>
        <v>#REF!</v>
      </c>
      <c r="AK22" s="18" t="e">
        <f ca="1">AJ22-#REF!</f>
        <v>#REF!</v>
      </c>
      <c r="AL22" s="13" t="e">
        <f t="shared" ca="1" si="9"/>
        <v>#REF!</v>
      </c>
      <c r="AM22" s="27" t="e">
        <f ca="1">AL22-#REF!</f>
        <v>#REF!</v>
      </c>
      <c r="AN22" s="12" t="e">
        <f t="shared" ca="1" si="30"/>
        <v>#REF!</v>
      </c>
      <c r="AO22" s="18" t="e">
        <f ca="1">AN22-#REF!</f>
        <v>#REF!</v>
      </c>
      <c r="AP22" s="13" t="e">
        <f t="shared" ca="1" si="10"/>
        <v>#REF!</v>
      </c>
      <c r="AQ22" s="18" t="e">
        <f ca="1">AP22-#REF!</f>
        <v>#REF!</v>
      </c>
      <c r="AR22" s="13" t="e">
        <f t="shared" ca="1" si="11"/>
        <v>#REF!</v>
      </c>
      <c r="AS22" s="27" t="e">
        <f ca="1">AR22-#REF!</f>
        <v>#REF!</v>
      </c>
      <c r="AT22" s="12" t="e">
        <f t="shared" ca="1" si="31"/>
        <v>#REF!</v>
      </c>
      <c r="AU22" s="18" t="e">
        <f ca="1">AT22-#REF!</f>
        <v>#REF!</v>
      </c>
      <c r="AV22" s="13" t="e">
        <f t="shared" ca="1" si="12"/>
        <v>#REF!</v>
      </c>
      <c r="AW22" s="18" t="e">
        <f ca="1">AV22-#REF!</f>
        <v>#REF!</v>
      </c>
      <c r="AX22" s="13" t="e">
        <f t="shared" ca="1" si="13"/>
        <v>#REF!</v>
      </c>
      <c r="AY22" s="27" t="e">
        <f ca="1">AX22-#REF!</f>
        <v>#REF!</v>
      </c>
      <c r="AZ22" s="12" t="e">
        <f t="shared" ca="1" si="32"/>
        <v>#REF!</v>
      </c>
      <c r="BA22" s="18" t="e">
        <f ca="1">AZ22-#REF!</f>
        <v>#REF!</v>
      </c>
      <c r="BB22" s="13" t="e">
        <f t="shared" ca="1" si="14"/>
        <v>#REF!</v>
      </c>
      <c r="BC22" s="18" t="e">
        <f ca="1">BB22-#REF!</f>
        <v>#REF!</v>
      </c>
      <c r="BD22" s="13" t="e">
        <f t="shared" ca="1" si="15"/>
        <v>#REF!</v>
      </c>
      <c r="BE22" s="27" t="e">
        <f ca="1">BD22-#REF!</f>
        <v>#REF!</v>
      </c>
      <c r="BF22" s="12" t="e">
        <f t="shared" ca="1" si="33"/>
        <v>#REF!</v>
      </c>
      <c r="BG22" s="18" t="e">
        <f ca="1">BF22-#REF!</f>
        <v>#REF!</v>
      </c>
      <c r="BH22" s="13" t="e">
        <f t="shared" ca="1" si="16"/>
        <v>#REF!</v>
      </c>
      <c r="BI22" s="18" t="e">
        <f ca="1">BH22-#REF!</f>
        <v>#REF!</v>
      </c>
      <c r="BJ22" s="13" t="e">
        <f t="shared" ca="1" si="17"/>
        <v>#REF!</v>
      </c>
      <c r="BK22" s="27" t="e">
        <f ca="1">BJ22-#REF!</f>
        <v>#REF!</v>
      </c>
      <c r="BL22" s="12" t="e">
        <f t="shared" ca="1" si="18"/>
        <v>#REF!</v>
      </c>
      <c r="BM22" s="18" t="e">
        <f ca="1">BL22-#REF!</f>
        <v>#REF!</v>
      </c>
      <c r="BN22" s="13" t="e">
        <f t="shared" ca="1" si="18"/>
        <v>#REF!</v>
      </c>
      <c r="BO22" s="18" t="e">
        <f ca="1">BN22-#REF!</f>
        <v>#REF!</v>
      </c>
      <c r="BP22" s="13" t="e">
        <f t="shared" ca="1" si="34"/>
        <v>#REF!</v>
      </c>
      <c r="BQ22" s="28" t="e">
        <f ca="1">BP22-#REF!</f>
        <v>#REF!</v>
      </c>
    </row>
    <row r="23" spans="1:69" ht="18.75" x14ac:dyDescent="0.25">
      <c r="A23" s="15" t="s">
        <v>108</v>
      </c>
      <c r="B23" s="24" t="s">
        <v>127</v>
      </c>
      <c r="C23" s="12" t="e">
        <f t="shared" ca="1" si="20"/>
        <v>#REF!</v>
      </c>
      <c r="D23" s="18" t="e">
        <f ca="1">C23-#REF!</f>
        <v>#REF!</v>
      </c>
      <c r="E23" s="13" t="e">
        <f t="shared" ca="1" si="1"/>
        <v>#REF!</v>
      </c>
      <c r="F23" s="18" t="e">
        <f ca="1">E23-#REF!</f>
        <v>#REF!</v>
      </c>
      <c r="G23" s="13" t="e">
        <f t="shared" ca="1" si="2"/>
        <v>#REF!</v>
      </c>
      <c r="H23" s="27" t="e">
        <f ca="1">G23-#REF!</f>
        <v>#REF!</v>
      </c>
      <c r="I23" s="12" t="e">
        <f t="shared" ca="1" si="21"/>
        <v>#REF!</v>
      </c>
      <c r="J23" s="18" t="e">
        <f ca="1">I23-#REF!</f>
        <v>#REF!</v>
      </c>
      <c r="K23" s="13" t="e">
        <f t="shared" ca="1" si="3"/>
        <v>#REF!</v>
      </c>
      <c r="L23" s="18" t="e">
        <f ca="1">K23-#REF!</f>
        <v>#REF!</v>
      </c>
      <c r="M23" s="13" t="e">
        <f t="shared" ca="1" si="4"/>
        <v>#REF!</v>
      </c>
      <c r="N23" s="27" t="e">
        <f ca="1">M23-#REF!</f>
        <v>#REF!</v>
      </c>
      <c r="O23" s="14" t="e">
        <f t="shared" ca="1" si="22"/>
        <v>#REF!</v>
      </c>
      <c r="P23" s="12" t="e">
        <f t="shared" ca="1" si="23"/>
        <v>#REF!</v>
      </c>
      <c r="Q23" s="18" t="e">
        <f ca="1">P23-#REF!</f>
        <v>#REF!</v>
      </c>
      <c r="R23" s="13" t="e">
        <f t="shared" ca="1" si="24"/>
        <v>#REF!</v>
      </c>
      <c r="S23" s="18" t="e">
        <f ca="1">R23-#REF!</f>
        <v>#REF!</v>
      </c>
      <c r="T23" s="13" t="e">
        <f t="shared" ca="1" si="25"/>
        <v>#REF!</v>
      </c>
      <c r="U23" s="27" t="e">
        <f ca="1">T23-#REF!</f>
        <v>#REF!</v>
      </c>
      <c r="V23" s="12" t="e">
        <f t="shared" ca="1" si="26"/>
        <v>#REF!</v>
      </c>
      <c r="W23" s="18" t="e">
        <f ca="1">V23-#REF!</f>
        <v>#REF!</v>
      </c>
      <c r="X23" s="13" t="e">
        <f t="shared" ca="1" si="27"/>
        <v>#REF!</v>
      </c>
      <c r="Y23" s="18" t="e">
        <f ca="1">X23-#REF!</f>
        <v>#REF!</v>
      </c>
      <c r="Z23" s="13" t="e">
        <f t="shared" ca="1" si="5"/>
        <v>#REF!</v>
      </c>
      <c r="AA23" s="27" t="e">
        <f ca="1">Z23-#REF!</f>
        <v>#REF!</v>
      </c>
      <c r="AB23" s="12" t="e">
        <f t="shared" ca="1" si="28"/>
        <v>#REF!</v>
      </c>
      <c r="AC23" s="18" t="e">
        <f ca="1">AB23-#REF!</f>
        <v>#REF!</v>
      </c>
      <c r="AD23" s="13" t="e">
        <f t="shared" ca="1" si="6"/>
        <v>#REF!</v>
      </c>
      <c r="AE23" s="18" t="e">
        <f ca="1">AD23-#REF!</f>
        <v>#REF!</v>
      </c>
      <c r="AF23" s="13" t="e">
        <f t="shared" ca="1" si="7"/>
        <v>#REF!</v>
      </c>
      <c r="AG23" s="27" t="e">
        <f ca="1">AF23-#REF!</f>
        <v>#REF!</v>
      </c>
      <c r="AH23" s="12" t="e">
        <f t="shared" ca="1" si="29"/>
        <v>#REF!</v>
      </c>
      <c r="AI23" s="18" t="e">
        <f ca="1">AH23-#REF!</f>
        <v>#REF!</v>
      </c>
      <c r="AJ23" s="13" t="e">
        <f t="shared" ca="1" si="8"/>
        <v>#REF!</v>
      </c>
      <c r="AK23" s="18" t="e">
        <f ca="1">AJ23-#REF!</f>
        <v>#REF!</v>
      </c>
      <c r="AL23" s="13" t="e">
        <f t="shared" ca="1" si="9"/>
        <v>#REF!</v>
      </c>
      <c r="AM23" s="27" t="e">
        <f ca="1">AL23-#REF!</f>
        <v>#REF!</v>
      </c>
      <c r="AN23" s="12" t="e">
        <f t="shared" ca="1" si="30"/>
        <v>#REF!</v>
      </c>
      <c r="AO23" s="18" t="e">
        <f ca="1">AN23-#REF!</f>
        <v>#REF!</v>
      </c>
      <c r="AP23" s="13" t="e">
        <f t="shared" ca="1" si="10"/>
        <v>#REF!</v>
      </c>
      <c r="AQ23" s="18" t="e">
        <f ca="1">AP23-#REF!</f>
        <v>#REF!</v>
      </c>
      <c r="AR23" s="13" t="e">
        <f t="shared" ca="1" si="11"/>
        <v>#REF!</v>
      </c>
      <c r="AS23" s="27" t="e">
        <f ca="1">AR23-#REF!</f>
        <v>#REF!</v>
      </c>
      <c r="AT23" s="12" t="e">
        <f t="shared" ca="1" si="31"/>
        <v>#REF!</v>
      </c>
      <c r="AU23" s="18" t="e">
        <f ca="1">AT23-#REF!</f>
        <v>#REF!</v>
      </c>
      <c r="AV23" s="13" t="e">
        <f t="shared" ca="1" si="12"/>
        <v>#REF!</v>
      </c>
      <c r="AW23" s="18" t="e">
        <f ca="1">AV23-#REF!</f>
        <v>#REF!</v>
      </c>
      <c r="AX23" s="13" t="e">
        <f t="shared" ca="1" si="13"/>
        <v>#REF!</v>
      </c>
      <c r="AY23" s="27" t="e">
        <f ca="1">AX23-#REF!</f>
        <v>#REF!</v>
      </c>
      <c r="AZ23" s="12" t="e">
        <f t="shared" ca="1" si="32"/>
        <v>#REF!</v>
      </c>
      <c r="BA23" s="18" t="e">
        <f ca="1">AZ23-#REF!</f>
        <v>#REF!</v>
      </c>
      <c r="BB23" s="13" t="e">
        <f t="shared" ca="1" si="14"/>
        <v>#REF!</v>
      </c>
      <c r="BC23" s="18" t="e">
        <f ca="1">BB23-#REF!</f>
        <v>#REF!</v>
      </c>
      <c r="BD23" s="13" t="e">
        <f t="shared" ca="1" si="15"/>
        <v>#REF!</v>
      </c>
      <c r="BE23" s="27" t="e">
        <f ca="1">BD23-#REF!</f>
        <v>#REF!</v>
      </c>
      <c r="BF23" s="12" t="e">
        <f t="shared" ca="1" si="33"/>
        <v>#REF!</v>
      </c>
      <c r="BG23" s="18" t="e">
        <f ca="1">BF23-#REF!</f>
        <v>#REF!</v>
      </c>
      <c r="BH23" s="13" t="e">
        <f t="shared" ca="1" si="16"/>
        <v>#REF!</v>
      </c>
      <c r="BI23" s="18" t="e">
        <f ca="1">BH23-#REF!</f>
        <v>#REF!</v>
      </c>
      <c r="BJ23" s="13" t="e">
        <f t="shared" ca="1" si="17"/>
        <v>#REF!</v>
      </c>
      <c r="BK23" s="27" t="e">
        <f ca="1">BJ23-#REF!</f>
        <v>#REF!</v>
      </c>
      <c r="BL23" s="12" t="e">
        <f t="shared" ca="1" si="18"/>
        <v>#REF!</v>
      </c>
      <c r="BM23" s="18" t="e">
        <f ca="1">BL23-#REF!</f>
        <v>#REF!</v>
      </c>
      <c r="BN23" s="13" t="e">
        <f t="shared" ca="1" si="18"/>
        <v>#REF!</v>
      </c>
      <c r="BO23" s="18" t="e">
        <f ca="1">BN23-#REF!</f>
        <v>#REF!</v>
      </c>
      <c r="BP23" s="13" t="e">
        <f t="shared" ca="1" si="34"/>
        <v>#REF!</v>
      </c>
      <c r="BQ23" s="28" t="e">
        <f ca="1">BP23-#REF!</f>
        <v>#REF!</v>
      </c>
    </row>
    <row r="24" spans="1:69" ht="18.75" x14ac:dyDescent="0.25">
      <c r="A24" s="15" t="s">
        <v>109</v>
      </c>
      <c r="B24" s="24" t="s">
        <v>128</v>
      </c>
      <c r="C24" s="12" t="e">
        <f t="shared" ca="1" si="20"/>
        <v>#REF!</v>
      </c>
      <c r="D24" s="18" t="e">
        <f ca="1">C24-#REF!</f>
        <v>#REF!</v>
      </c>
      <c r="E24" s="13" t="e">
        <f t="shared" ca="1" si="1"/>
        <v>#REF!</v>
      </c>
      <c r="F24" s="18" t="e">
        <f ca="1">E24-#REF!</f>
        <v>#REF!</v>
      </c>
      <c r="G24" s="13" t="e">
        <f t="shared" ca="1" si="2"/>
        <v>#REF!</v>
      </c>
      <c r="H24" s="27" t="e">
        <f ca="1">G24-#REF!</f>
        <v>#REF!</v>
      </c>
      <c r="I24" s="12" t="e">
        <f t="shared" ca="1" si="21"/>
        <v>#REF!</v>
      </c>
      <c r="J24" s="18" t="e">
        <f ca="1">I24-#REF!</f>
        <v>#REF!</v>
      </c>
      <c r="K24" s="13" t="e">
        <f t="shared" ca="1" si="3"/>
        <v>#REF!</v>
      </c>
      <c r="L24" s="18" t="e">
        <f ca="1">K24-#REF!</f>
        <v>#REF!</v>
      </c>
      <c r="M24" s="13" t="e">
        <f t="shared" ca="1" si="4"/>
        <v>#REF!</v>
      </c>
      <c r="N24" s="27" t="e">
        <f ca="1">M24-#REF!</f>
        <v>#REF!</v>
      </c>
      <c r="O24" s="14" t="e">
        <f t="shared" ca="1" si="22"/>
        <v>#REF!</v>
      </c>
      <c r="P24" s="12" t="e">
        <f t="shared" ca="1" si="23"/>
        <v>#REF!</v>
      </c>
      <c r="Q24" s="18" t="e">
        <f ca="1">P24-#REF!</f>
        <v>#REF!</v>
      </c>
      <c r="R24" s="13" t="e">
        <f t="shared" ca="1" si="24"/>
        <v>#REF!</v>
      </c>
      <c r="S24" s="18" t="e">
        <f ca="1">R24-#REF!</f>
        <v>#REF!</v>
      </c>
      <c r="T24" s="13" t="e">
        <f t="shared" ca="1" si="25"/>
        <v>#REF!</v>
      </c>
      <c r="U24" s="27" t="e">
        <f ca="1">T24-#REF!</f>
        <v>#REF!</v>
      </c>
      <c r="V24" s="12" t="e">
        <f t="shared" ca="1" si="26"/>
        <v>#REF!</v>
      </c>
      <c r="W24" s="18" t="e">
        <f ca="1">V24-#REF!</f>
        <v>#REF!</v>
      </c>
      <c r="X24" s="13" t="e">
        <f t="shared" ca="1" si="27"/>
        <v>#REF!</v>
      </c>
      <c r="Y24" s="18" t="e">
        <f ca="1">X24-#REF!</f>
        <v>#REF!</v>
      </c>
      <c r="Z24" s="13" t="e">
        <f t="shared" ca="1" si="5"/>
        <v>#REF!</v>
      </c>
      <c r="AA24" s="27" t="e">
        <f ca="1">Z24-#REF!</f>
        <v>#REF!</v>
      </c>
      <c r="AB24" s="12" t="e">
        <f t="shared" ca="1" si="28"/>
        <v>#REF!</v>
      </c>
      <c r="AC24" s="18" t="e">
        <f ca="1">AB24-#REF!</f>
        <v>#REF!</v>
      </c>
      <c r="AD24" s="13" t="e">
        <f t="shared" ca="1" si="6"/>
        <v>#REF!</v>
      </c>
      <c r="AE24" s="18" t="e">
        <f ca="1">AD24-#REF!</f>
        <v>#REF!</v>
      </c>
      <c r="AF24" s="13" t="e">
        <f t="shared" ca="1" si="7"/>
        <v>#REF!</v>
      </c>
      <c r="AG24" s="27" t="e">
        <f ca="1">AF24-#REF!</f>
        <v>#REF!</v>
      </c>
      <c r="AH24" s="12" t="e">
        <f t="shared" ca="1" si="29"/>
        <v>#REF!</v>
      </c>
      <c r="AI24" s="18" t="e">
        <f ca="1">AH24-#REF!</f>
        <v>#REF!</v>
      </c>
      <c r="AJ24" s="13" t="e">
        <f t="shared" ca="1" si="8"/>
        <v>#REF!</v>
      </c>
      <c r="AK24" s="18" t="e">
        <f ca="1">AJ24-#REF!</f>
        <v>#REF!</v>
      </c>
      <c r="AL24" s="13" t="e">
        <f t="shared" ca="1" si="9"/>
        <v>#REF!</v>
      </c>
      <c r="AM24" s="27" t="e">
        <f ca="1">AL24-#REF!</f>
        <v>#REF!</v>
      </c>
      <c r="AN24" s="12" t="e">
        <f t="shared" ca="1" si="30"/>
        <v>#REF!</v>
      </c>
      <c r="AO24" s="18" t="e">
        <f ca="1">AN24-#REF!</f>
        <v>#REF!</v>
      </c>
      <c r="AP24" s="13" t="e">
        <f t="shared" ca="1" si="10"/>
        <v>#REF!</v>
      </c>
      <c r="AQ24" s="18" t="e">
        <f ca="1">AP24-#REF!</f>
        <v>#REF!</v>
      </c>
      <c r="AR24" s="13" t="e">
        <f t="shared" ca="1" si="11"/>
        <v>#REF!</v>
      </c>
      <c r="AS24" s="27" t="e">
        <f ca="1">AR24-#REF!</f>
        <v>#REF!</v>
      </c>
      <c r="AT24" s="12" t="e">
        <f t="shared" ca="1" si="31"/>
        <v>#REF!</v>
      </c>
      <c r="AU24" s="18" t="e">
        <f ca="1">AT24-#REF!</f>
        <v>#REF!</v>
      </c>
      <c r="AV24" s="13" t="e">
        <f t="shared" ca="1" si="12"/>
        <v>#REF!</v>
      </c>
      <c r="AW24" s="18" t="e">
        <f ca="1">AV24-#REF!</f>
        <v>#REF!</v>
      </c>
      <c r="AX24" s="13" t="e">
        <f t="shared" ca="1" si="13"/>
        <v>#REF!</v>
      </c>
      <c r="AY24" s="27" t="e">
        <f ca="1">AX24-#REF!</f>
        <v>#REF!</v>
      </c>
      <c r="AZ24" s="12" t="e">
        <f t="shared" ca="1" si="32"/>
        <v>#REF!</v>
      </c>
      <c r="BA24" s="18" t="e">
        <f ca="1">AZ24-#REF!</f>
        <v>#REF!</v>
      </c>
      <c r="BB24" s="13" t="e">
        <f t="shared" ca="1" si="14"/>
        <v>#REF!</v>
      </c>
      <c r="BC24" s="18" t="e">
        <f ca="1">BB24-#REF!</f>
        <v>#REF!</v>
      </c>
      <c r="BD24" s="13" t="e">
        <f t="shared" ca="1" si="15"/>
        <v>#REF!</v>
      </c>
      <c r="BE24" s="27" t="e">
        <f ca="1">BD24-#REF!</f>
        <v>#REF!</v>
      </c>
      <c r="BF24" s="12" t="e">
        <f t="shared" ca="1" si="33"/>
        <v>#REF!</v>
      </c>
      <c r="BG24" s="18" t="e">
        <f ca="1">BF24-#REF!</f>
        <v>#REF!</v>
      </c>
      <c r="BH24" s="13" t="e">
        <f t="shared" ca="1" si="16"/>
        <v>#REF!</v>
      </c>
      <c r="BI24" s="18" t="e">
        <f ca="1">BH24-#REF!</f>
        <v>#REF!</v>
      </c>
      <c r="BJ24" s="13" t="e">
        <f t="shared" ca="1" si="17"/>
        <v>#REF!</v>
      </c>
      <c r="BK24" s="27" t="e">
        <f ca="1">BJ24-#REF!</f>
        <v>#REF!</v>
      </c>
      <c r="BL24" s="12" t="e">
        <f t="shared" ca="1" si="18"/>
        <v>#REF!</v>
      </c>
      <c r="BM24" s="18" t="e">
        <f ca="1">BL24-#REF!</f>
        <v>#REF!</v>
      </c>
      <c r="BN24" s="13" t="e">
        <f t="shared" ca="1" si="18"/>
        <v>#REF!</v>
      </c>
      <c r="BO24" s="18" t="e">
        <f ca="1">BN24-#REF!</f>
        <v>#REF!</v>
      </c>
      <c r="BP24" s="13" t="e">
        <f t="shared" ca="1" si="34"/>
        <v>#REF!</v>
      </c>
      <c r="BQ24" s="28" t="e">
        <f ca="1">BP24-#REF!</f>
        <v>#REF!</v>
      </c>
    </row>
    <row r="25" spans="1:69" ht="18.75" x14ac:dyDescent="0.25">
      <c r="A25" s="15" t="s">
        <v>110</v>
      </c>
      <c r="B25" s="24" t="s">
        <v>129</v>
      </c>
      <c r="C25" s="12" t="e">
        <f t="shared" ca="1" si="20"/>
        <v>#REF!</v>
      </c>
      <c r="D25" s="18" t="e">
        <f ca="1">C25-#REF!</f>
        <v>#REF!</v>
      </c>
      <c r="E25" s="13" t="e">
        <f t="shared" ca="1" si="1"/>
        <v>#REF!</v>
      </c>
      <c r="F25" s="18" t="e">
        <f ca="1">E25-#REF!</f>
        <v>#REF!</v>
      </c>
      <c r="G25" s="13" t="e">
        <f t="shared" ca="1" si="2"/>
        <v>#REF!</v>
      </c>
      <c r="H25" s="27" t="e">
        <f ca="1">G25-#REF!</f>
        <v>#REF!</v>
      </c>
      <c r="I25" s="12" t="e">
        <f t="shared" ca="1" si="21"/>
        <v>#REF!</v>
      </c>
      <c r="J25" s="18" t="e">
        <f ca="1">I25-#REF!</f>
        <v>#REF!</v>
      </c>
      <c r="K25" s="13" t="e">
        <f t="shared" ca="1" si="3"/>
        <v>#REF!</v>
      </c>
      <c r="L25" s="18" t="e">
        <f ca="1">K25-#REF!</f>
        <v>#REF!</v>
      </c>
      <c r="M25" s="13" t="e">
        <f t="shared" ca="1" si="4"/>
        <v>#REF!</v>
      </c>
      <c r="N25" s="27" t="e">
        <f ca="1">M25-#REF!</f>
        <v>#REF!</v>
      </c>
      <c r="O25" s="14" t="e">
        <f t="shared" ca="1" si="22"/>
        <v>#REF!</v>
      </c>
      <c r="P25" s="12" t="e">
        <f t="shared" ca="1" si="23"/>
        <v>#REF!</v>
      </c>
      <c r="Q25" s="18" t="e">
        <f ca="1">P25-#REF!</f>
        <v>#REF!</v>
      </c>
      <c r="R25" s="13" t="e">
        <f t="shared" ca="1" si="24"/>
        <v>#REF!</v>
      </c>
      <c r="S25" s="18" t="e">
        <f ca="1">R25-#REF!</f>
        <v>#REF!</v>
      </c>
      <c r="T25" s="13" t="e">
        <f t="shared" ca="1" si="25"/>
        <v>#REF!</v>
      </c>
      <c r="U25" s="27" t="e">
        <f ca="1">T25-#REF!</f>
        <v>#REF!</v>
      </c>
      <c r="V25" s="12" t="e">
        <f t="shared" ca="1" si="26"/>
        <v>#REF!</v>
      </c>
      <c r="W25" s="18" t="e">
        <f ca="1">V25-#REF!</f>
        <v>#REF!</v>
      </c>
      <c r="X25" s="13" t="e">
        <f t="shared" ca="1" si="27"/>
        <v>#REF!</v>
      </c>
      <c r="Y25" s="18" t="e">
        <f ca="1">X25-#REF!</f>
        <v>#REF!</v>
      </c>
      <c r="Z25" s="13" t="e">
        <f t="shared" ca="1" si="5"/>
        <v>#REF!</v>
      </c>
      <c r="AA25" s="27" t="e">
        <f ca="1">Z25-#REF!</f>
        <v>#REF!</v>
      </c>
      <c r="AB25" s="12" t="e">
        <f t="shared" ca="1" si="28"/>
        <v>#REF!</v>
      </c>
      <c r="AC25" s="18" t="e">
        <f ca="1">AB25-#REF!</f>
        <v>#REF!</v>
      </c>
      <c r="AD25" s="13" t="e">
        <f t="shared" ca="1" si="6"/>
        <v>#REF!</v>
      </c>
      <c r="AE25" s="18" t="e">
        <f ca="1">AD25-#REF!</f>
        <v>#REF!</v>
      </c>
      <c r="AF25" s="13" t="e">
        <f t="shared" ca="1" si="7"/>
        <v>#REF!</v>
      </c>
      <c r="AG25" s="27" t="e">
        <f ca="1">AF25-#REF!</f>
        <v>#REF!</v>
      </c>
      <c r="AH25" s="12" t="e">
        <f t="shared" ca="1" si="29"/>
        <v>#REF!</v>
      </c>
      <c r="AI25" s="18" t="e">
        <f ca="1">AH25-#REF!</f>
        <v>#REF!</v>
      </c>
      <c r="AJ25" s="13" t="e">
        <f t="shared" ca="1" si="8"/>
        <v>#REF!</v>
      </c>
      <c r="AK25" s="18" t="e">
        <f ca="1">AJ25-#REF!</f>
        <v>#REF!</v>
      </c>
      <c r="AL25" s="13" t="e">
        <f t="shared" ca="1" si="9"/>
        <v>#REF!</v>
      </c>
      <c r="AM25" s="27" t="e">
        <f ca="1">AL25-#REF!</f>
        <v>#REF!</v>
      </c>
      <c r="AN25" s="12" t="e">
        <f t="shared" ca="1" si="30"/>
        <v>#REF!</v>
      </c>
      <c r="AO25" s="18" t="e">
        <f ca="1">AN25-#REF!</f>
        <v>#REF!</v>
      </c>
      <c r="AP25" s="13" t="e">
        <f t="shared" ca="1" si="10"/>
        <v>#REF!</v>
      </c>
      <c r="AQ25" s="18" t="e">
        <f ca="1">AP25-#REF!</f>
        <v>#REF!</v>
      </c>
      <c r="AR25" s="13" t="e">
        <f t="shared" ca="1" si="11"/>
        <v>#REF!</v>
      </c>
      <c r="AS25" s="27" t="e">
        <f ca="1">AR25-#REF!</f>
        <v>#REF!</v>
      </c>
      <c r="AT25" s="12" t="e">
        <f t="shared" ca="1" si="31"/>
        <v>#REF!</v>
      </c>
      <c r="AU25" s="18" t="e">
        <f ca="1">AT25-#REF!</f>
        <v>#REF!</v>
      </c>
      <c r="AV25" s="13" t="e">
        <f t="shared" ca="1" si="12"/>
        <v>#REF!</v>
      </c>
      <c r="AW25" s="18" t="e">
        <f ca="1">AV25-#REF!</f>
        <v>#REF!</v>
      </c>
      <c r="AX25" s="13" t="e">
        <f t="shared" ca="1" si="13"/>
        <v>#REF!</v>
      </c>
      <c r="AY25" s="27" t="e">
        <f ca="1">AX25-#REF!</f>
        <v>#REF!</v>
      </c>
      <c r="AZ25" s="12" t="e">
        <f t="shared" ca="1" si="32"/>
        <v>#REF!</v>
      </c>
      <c r="BA25" s="18" t="e">
        <f ca="1">AZ25-#REF!</f>
        <v>#REF!</v>
      </c>
      <c r="BB25" s="13" t="e">
        <f t="shared" ca="1" si="14"/>
        <v>#REF!</v>
      </c>
      <c r="BC25" s="18" t="e">
        <f ca="1">BB25-#REF!</f>
        <v>#REF!</v>
      </c>
      <c r="BD25" s="13" t="e">
        <f t="shared" ca="1" si="15"/>
        <v>#REF!</v>
      </c>
      <c r="BE25" s="27" t="e">
        <f ca="1">BD25-#REF!</f>
        <v>#REF!</v>
      </c>
      <c r="BF25" s="12" t="e">
        <f t="shared" ca="1" si="33"/>
        <v>#REF!</v>
      </c>
      <c r="BG25" s="18" t="e">
        <f ca="1">BF25-#REF!</f>
        <v>#REF!</v>
      </c>
      <c r="BH25" s="13" t="e">
        <f t="shared" ca="1" si="16"/>
        <v>#REF!</v>
      </c>
      <c r="BI25" s="18" t="e">
        <f ca="1">BH25-#REF!</f>
        <v>#REF!</v>
      </c>
      <c r="BJ25" s="13" t="e">
        <f t="shared" ca="1" si="17"/>
        <v>#REF!</v>
      </c>
      <c r="BK25" s="27" t="e">
        <f ca="1">BJ25-#REF!</f>
        <v>#REF!</v>
      </c>
      <c r="BL25" s="12" t="e">
        <f t="shared" ca="1" si="18"/>
        <v>#REF!</v>
      </c>
      <c r="BM25" s="18" t="e">
        <f ca="1">BL25-#REF!</f>
        <v>#REF!</v>
      </c>
      <c r="BN25" s="13" t="e">
        <f t="shared" ca="1" si="18"/>
        <v>#REF!</v>
      </c>
      <c r="BO25" s="18" t="e">
        <f ca="1">BN25-#REF!</f>
        <v>#REF!</v>
      </c>
      <c r="BP25" s="13" t="e">
        <f t="shared" ca="1" si="34"/>
        <v>#REF!</v>
      </c>
      <c r="BQ25" s="28" t="e">
        <f ca="1">BP25-#REF!</f>
        <v>#REF!</v>
      </c>
    </row>
    <row r="26" spans="1:69" ht="18.75" x14ac:dyDescent="0.25">
      <c r="A26" s="15" t="s">
        <v>112</v>
      </c>
      <c r="B26" s="24" t="s">
        <v>132</v>
      </c>
      <c r="C26" s="12" t="e">
        <f ca="1">COUNTIFS(INDIRECT($B26&amp;"["&amp;$B$7&amp;"]"),"&lt;&gt;",INDIRECT($B26&amp;"[ШПК]"),"&lt;&gt;",INDIRECT($B26&amp;"[ПІБ]"),"&lt;&gt;")-SUM(E26,G26)</f>
        <v>#REF!</v>
      </c>
      <c r="D26" s="18" t="e">
        <f ca="1">C26-#REF!</f>
        <v>#REF!</v>
      </c>
      <c r="E26" s="13" t="e">
        <f t="shared" ca="1" si="1"/>
        <v>#REF!</v>
      </c>
      <c r="F26" s="18" t="e">
        <f ca="1">E26-#REF!</f>
        <v>#REF!</v>
      </c>
      <c r="G26" s="13" t="e">
        <f t="shared" ca="1" si="2"/>
        <v>#REF!</v>
      </c>
      <c r="H26" s="27" t="e">
        <f ca="1">G26-#REF!</f>
        <v>#REF!</v>
      </c>
      <c r="I26" s="12" t="e">
        <f t="shared" ca="1" si="21"/>
        <v>#REF!</v>
      </c>
      <c r="J26" s="18" t="e">
        <f ca="1">I26-#REF!</f>
        <v>#REF!</v>
      </c>
      <c r="K26" s="13" t="e">
        <f t="shared" ca="1" si="3"/>
        <v>#REF!</v>
      </c>
      <c r="L26" s="18" t="e">
        <f ca="1">K26-#REF!</f>
        <v>#REF!</v>
      </c>
      <c r="M26" s="13" t="e">
        <f t="shared" ca="1" si="4"/>
        <v>#REF!</v>
      </c>
      <c r="N26" s="27" t="e">
        <f ca="1">M26-#REF!</f>
        <v>#REF!</v>
      </c>
      <c r="O26" s="14" t="e">
        <f t="shared" ca="1" si="22"/>
        <v>#REF!</v>
      </c>
      <c r="P26" s="12" t="e">
        <f t="shared" ca="1" si="23"/>
        <v>#REF!</v>
      </c>
      <c r="Q26" s="18" t="e">
        <f ca="1">P26-#REF!</f>
        <v>#REF!</v>
      </c>
      <c r="R26" s="13" t="e">
        <f t="shared" ca="1" si="24"/>
        <v>#REF!</v>
      </c>
      <c r="S26" s="18" t="e">
        <f ca="1">R26-#REF!</f>
        <v>#REF!</v>
      </c>
      <c r="T26" s="13" t="e">
        <f t="shared" ca="1" si="25"/>
        <v>#REF!</v>
      </c>
      <c r="U26" s="27" t="e">
        <f ca="1">T26-#REF!</f>
        <v>#REF!</v>
      </c>
      <c r="V26" s="12" t="e">
        <f t="shared" ca="1" si="26"/>
        <v>#REF!</v>
      </c>
      <c r="W26" s="18" t="e">
        <f ca="1">V26-#REF!</f>
        <v>#REF!</v>
      </c>
      <c r="X26" s="13" t="e">
        <f t="shared" ca="1" si="27"/>
        <v>#REF!</v>
      </c>
      <c r="Y26" s="18" t="e">
        <f ca="1">X26-#REF!</f>
        <v>#REF!</v>
      </c>
      <c r="Z26" s="13" t="e">
        <f t="shared" ca="1" si="5"/>
        <v>#REF!</v>
      </c>
      <c r="AA26" s="27" t="e">
        <f ca="1">Z26-#REF!</f>
        <v>#REF!</v>
      </c>
      <c r="AB26" s="12" t="e">
        <f t="shared" ca="1" si="28"/>
        <v>#REF!</v>
      </c>
      <c r="AC26" s="18" t="e">
        <f ca="1">AB26-#REF!</f>
        <v>#REF!</v>
      </c>
      <c r="AD26" s="13" t="e">
        <f t="shared" ca="1" si="6"/>
        <v>#REF!</v>
      </c>
      <c r="AE26" s="18" t="e">
        <f ca="1">AD26-#REF!</f>
        <v>#REF!</v>
      </c>
      <c r="AF26" s="13" t="e">
        <f t="shared" ca="1" si="7"/>
        <v>#REF!</v>
      </c>
      <c r="AG26" s="27" t="e">
        <f ca="1">AF26-#REF!</f>
        <v>#REF!</v>
      </c>
      <c r="AH26" s="12" t="e">
        <f t="shared" ca="1" si="29"/>
        <v>#REF!</v>
      </c>
      <c r="AI26" s="18" t="e">
        <f ca="1">AH26-#REF!</f>
        <v>#REF!</v>
      </c>
      <c r="AJ26" s="13" t="e">
        <f t="shared" ca="1" si="8"/>
        <v>#REF!</v>
      </c>
      <c r="AK26" s="18" t="e">
        <f ca="1">AJ26-#REF!</f>
        <v>#REF!</v>
      </c>
      <c r="AL26" s="13" t="e">
        <f t="shared" ca="1" si="9"/>
        <v>#REF!</v>
      </c>
      <c r="AM26" s="27" t="e">
        <f ca="1">AL26-#REF!</f>
        <v>#REF!</v>
      </c>
      <c r="AN26" s="12" t="e">
        <f t="shared" ca="1" si="30"/>
        <v>#REF!</v>
      </c>
      <c r="AO26" s="18" t="e">
        <f ca="1">AN26-#REF!</f>
        <v>#REF!</v>
      </c>
      <c r="AP26" s="13" t="e">
        <f t="shared" ca="1" si="10"/>
        <v>#REF!</v>
      </c>
      <c r="AQ26" s="18" t="e">
        <f ca="1">AP26-#REF!</f>
        <v>#REF!</v>
      </c>
      <c r="AR26" s="13" t="e">
        <f t="shared" ca="1" si="11"/>
        <v>#REF!</v>
      </c>
      <c r="AS26" s="27" t="e">
        <f ca="1">AR26-#REF!</f>
        <v>#REF!</v>
      </c>
      <c r="AT26" s="12" t="e">
        <f t="shared" ca="1" si="31"/>
        <v>#REF!</v>
      </c>
      <c r="AU26" s="18" t="e">
        <f ca="1">AT26-#REF!</f>
        <v>#REF!</v>
      </c>
      <c r="AV26" s="13" t="e">
        <f t="shared" ca="1" si="12"/>
        <v>#REF!</v>
      </c>
      <c r="AW26" s="18" t="e">
        <f ca="1">AV26-#REF!</f>
        <v>#REF!</v>
      </c>
      <c r="AX26" s="13" t="e">
        <f t="shared" ca="1" si="13"/>
        <v>#REF!</v>
      </c>
      <c r="AY26" s="27" t="e">
        <f ca="1">AX26-#REF!</f>
        <v>#REF!</v>
      </c>
      <c r="AZ26" s="12" t="e">
        <f t="shared" ca="1" si="32"/>
        <v>#REF!</v>
      </c>
      <c r="BA26" s="18" t="e">
        <f ca="1">AZ26-#REF!</f>
        <v>#REF!</v>
      </c>
      <c r="BB26" s="13" t="e">
        <f t="shared" ca="1" si="14"/>
        <v>#REF!</v>
      </c>
      <c r="BC26" s="18" t="e">
        <f ca="1">BB26-#REF!</f>
        <v>#REF!</v>
      </c>
      <c r="BD26" s="13" t="e">
        <f t="shared" ca="1" si="15"/>
        <v>#REF!</v>
      </c>
      <c r="BE26" s="27" t="e">
        <f ca="1">BD26-#REF!</f>
        <v>#REF!</v>
      </c>
      <c r="BF26" s="12" t="e">
        <f t="shared" ca="1" si="33"/>
        <v>#REF!</v>
      </c>
      <c r="BG26" s="18" t="e">
        <f ca="1">BF26-#REF!</f>
        <v>#REF!</v>
      </c>
      <c r="BH26" s="13" t="e">
        <f t="shared" ca="1" si="16"/>
        <v>#REF!</v>
      </c>
      <c r="BI26" s="18" t="e">
        <f ca="1">BH26-#REF!</f>
        <v>#REF!</v>
      </c>
      <c r="BJ26" s="13" t="e">
        <f t="shared" ca="1" si="17"/>
        <v>#REF!</v>
      </c>
      <c r="BK26" s="27" t="e">
        <f ca="1">BJ26-#REF!</f>
        <v>#REF!</v>
      </c>
      <c r="BL26" s="12" t="e">
        <f t="shared" ca="1" si="18"/>
        <v>#REF!</v>
      </c>
      <c r="BM26" s="18" t="e">
        <f ca="1">BL26-#REF!</f>
        <v>#REF!</v>
      </c>
      <c r="BN26" s="13" t="e">
        <f t="shared" ca="1" si="18"/>
        <v>#REF!</v>
      </c>
      <c r="BO26" s="18" t="e">
        <f ca="1">BN26-#REF!</f>
        <v>#REF!</v>
      </c>
      <c r="BP26" s="13" t="e">
        <f t="shared" ca="1" si="34"/>
        <v>#REF!</v>
      </c>
      <c r="BQ26" s="28" t="e">
        <f ca="1">BP26-#REF!</f>
        <v>#REF!</v>
      </c>
    </row>
    <row r="27" spans="1:69" ht="18.75" x14ac:dyDescent="0.25">
      <c r="A27" s="15" t="s">
        <v>36</v>
      </c>
      <c r="B27" s="24" t="s">
        <v>130</v>
      </c>
      <c r="C27" s="12" t="e">
        <f t="shared" ca="1" si="20"/>
        <v>#REF!</v>
      </c>
      <c r="D27" s="18" t="e">
        <f ca="1">C27-#REF!</f>
        <v>#REF!</v>
      </c>
      <c r="E27" s="13" t="e">
        <f t="shared" ca="1" si="1"/>
        <v>#REF!</v>
      </c>
      <c r="F27" s="18" t="e">
        <f ca="1">E27-#REF!</f>
        <v>#REF!</v>
      </c>
      <c r="G27" s="13" t="e">
        <f t="shared" ca="1" si="2"/>
        <v>#REF!</v>
      </c>
      <c r="H27" s="27" t="e">
        <f ca="1">G27-#REF!</f>
        <v>#REF!</v>
      </c>
      <c r="I27" s="12" t="e">
        <f t="shared" ca="1" si="21"/>
        <v>#REF!</v>
      </c>
      <c r="J27" s="18" t="e">
        <f ca="1">I27-#REF!</f>
        <v>#REF!</v>
      </c>
      <c r="K27" s="13" t="e">
        <f t="shared" ca="1" si="3"/>
        <v>#REF!</v>
      </c>
      <c r="L27" s="18" t="e">
        <f ca="1">K27-#REF!</f>
        <v>#REF!</v>
      </c>
      <c r="M27" s="13" t="e">
        <f t="shared" ca="1" si="4"/>
        <v>#REF!</v>
      </c>
      <c r="N27" s="27" t="e">
        <f ca="1">M27-#REF!</f>
        <v>#REF!</v>
      </c>
      <c r="O27" s="14" t="e">
        <f t="shared" ca="1" si="22"/>
        <v>#REF!</v>
      </c>
      <c r="P27" s="12" t="e">
        <f t="shared" ca="1" si="23"/>
        <v>#REF!</v>
      </c>
      <c r="Q27" s="18" t="e">
        <f ca="1">P27-#REF!</f>
        <v>#REF!</v>
      </c>
      <c r="R27" s="13" t="e">
        <f t="shared" ca="1" si="24"/>
        <v>#REF!</v>
      </c>
      <c r="S27" s="18" t="e">
        <f ca="1">R27-#REF!</f>
        <v>#REF!</v>
      </c>
      <c r="T27" s="13" t="e">
        <f t="shared" ca="1" si="25"/>
        <v>#REF!</v>
      </c>
      <c r="U27" s="27" t="e">
        <f ca="1">T27-#REF!</f>
        <v>#REF!</v>
      </c>
      <c r="V27" s="12" t="e">
        <f t="shared" ca="1" si="26"/>
        <v>#REF!</v>
      </c>
      <c r="W27" s="18" t="e">
        <f ca="1">V27-#REF!</f>
        <v>#REF!</v>
      </c>
      <c r="X27" s="13" t="e">
        <f t="shared" ca="1" si="27"/>
        <v>#REF!</v>
      </c>
      <c r="Y27" s="18" t="e">
        <f ca="1">X27-#REF!</f>
        <v>#REF!</v>
      </c>
      <c r="Z27" s="13" t="e">
        <f t="shared" ca="1" si="5"/>
        <v>#REF!</v>
      </c>
      <c r="AA27" s="27" t="e">
        <f ca="1">Z27-#REF!</f>
        <v>#REF!</v>
      </c>
      <c r="AB27" s="12" t="e">
        <f t="shared" ca="1" si="28"/>
        <v>#REF!</v>
      </c>
      <c r="AC27" s="18" t="e">
        <f ca="1">AB27-#REF!</f>
        <v>#REF!</v>
      </c>
      <c r="AD27" s="13" t="e">
        <f t="shared" ca="1" si="6"/>
        <v>#REF!</v>
      </c>
      <c r="AE27" s="18" t="e">
        <f ca="1">AD27-#REF!</f>
        <v>#REF!</v>
      </c>
      <c r="AF27" s="13" t="e">
        <f t="shared" ca="1" si="7"/>
        <v>#REF!</v>
      </c>
      <c r="AG27" s="27" t="e">
        <f ca="1">AF27-#REF!</f>
        <v>#REF!</v>
      </c>
      <c r="AH27" s="12" t="e">
        <f t="shared" ca="1" si="29"/>
        <v>#REF!</v>
      </c>
      <c r="AI27" s="18" t="e">
        <f ca="1">AH27-#REF!</f>
        <v>#REF!</v>
      </c>
      <c r="AJ27" s="13" t="e">
        <f t="shared" ca="1" si="8"/>
        <v>#REF!</v>
      </c>
      <c r="AK27" s="18" t="e">
        <f ca="1">AJ27-#REF!</f>
        <v>#REF!</v>
      </c>
      <c r="AL27" s="13" t="e">
        <f t="shared" ca="1" si="9"/>
        <v>#REF!</v>
      </c>
      <c r="AM27" s="27" t="e">
        <f ca="1">AL27-#REF!</f>
        <v>#REF!</v>
      </c>
      <c r="AN27" s="12" t="e">
        <f t="shared" ca="1" si="30"/>
        <v>#REF!</v>
      </c>
      <c r="AO27" s="18" t="e">
        <f ca="1">AN27-#REF!</f>
        <v>#REF!</v>
      </c>
      <c r="AP27" s="13" t="e">
        <f t="shared" ca="1" si="10"/>
        <v>#REF!</v>
      </c>
      <c r="AQ27" s="18" t="e">
        <f ca="1">AP27-#REF!</f>
        <v>#REF!</v>
      </c>
      <c r="AR27" s="13" t="e">
        <f t="shared" ca="1" si="11"/>
        <v>#REF!</v>
      </c>
      <c r="AS27" s="27" t="e">
        <f ca="1">AR27-#REF!</f>
        <v>#REF!</v>
      </c>
      <c r="AT27" s="12" t="e">
        <f t="shared" ca="1" si="31"/>
        <v>#REF!</v>
      </c>
      <c r="AU27" s="18" t="e">
        <f ca="1">AT27-#REF!</f>
        <v>#REF!</v>
      </c>
      <c r="AV27" s="13" t="e">
        <f t="shared" ca="1" si="12"/>
        <v>#REF!</v>
      </c>
      <c r="AW27" s="18" t="e">
        <f ca="1">AV27-#REF!</f>
        <v>#REF!</v>
      </c>
      <c r="AX27" s="13" t="e">
        <f t="shared" ca="1" si="13"/>
        <v>#REF!</v>
      </c>
      <c r="AY27" s="27" t="e">
        <f ca="1">AX27-#REF!</f>
        <v>#REF!</v>
      </c>
      <c r="AZ27" s="12" t="e">
        <f t="shared" ca="1" si="32"/>
        <v>#REF!</v>
      </c>
      <c r="BA27" s="18" t="e">
        <f ca="1">AZ27-#REF!</f>
        <v>#REF!</v>
      </c>
      <c r="BB27" s="13" t="e">
        <f t="shared" ca="1" si="14"/>
        <v>#REF!</v>
      </c>
      <c r="BC27" s="18" t="e">
        <f ca="1">BB27-#REF!</f>
        <v>#REF!</v>
      </c>
      <c r="BD27" s="13" t="e">
        <f t="shared" ca="1" si="15"/>
        <v>#REF!</v>
      </c>
      <c r="BE27" s="27" t="e">
        <f ca="1">BD27-#REF!</f>
        <v>#REF!</v>
      </c>
      <c r="BF27" s="12" t="e">
        <f t="shared" ca="1" si="33"/>
        <v>#REF!</v>
      </c>
      <c r="BG27" s="18" t="e">
        <f ca="1">BF27-#REF!</f>
        <v>#REF!</v>
      </c>
      <c r="BH27" s="13" t="e">
        <f t="shared" ca="1" si="16"/>
        <v>#REF!</v>
      </c>
      <c r="BI27" s="18" t="e">
        <f ca="1">BH27-#REF!</f>
        <v>#REF!</v>
      </c>
      <c r="BJ27" s="13" t="e">
        <f t="shared" ca="1" si="17"/>
        <v>#REF!</v>
      </c>
      <c r="BK27" s="27" t="e">
        <f ca="1">BJ27-#REF!</f>
        <v>#REF!</v>
      </c>
      <c r="BL27" s="12" t="e">
        <f t="shared" ca="1" si="18"/>
        <v>#REF!</v>
      </c>
      <c r="BM27" s="18" t="e">
        <f ca="1">BL27-#REF!</f>
        <v>#REF!</v>
      </c>
      <c r="BN27" s="13" t="e">
        <f t="shared" ca="1" si="18"/>
        <v>#REF!</v>
      </c>
      <c r="BO27" s="18" t="e">
        <f ca="1">BN27-#REF!</f>
        <v>#REF!</v>
      </c>
      <c r="BP27" s="13" t="e">
        <f t="shared" ca="1" si="34"/>
        <v>#REF!</v>
      </c>
      <c r="BQ27" s="28" t="e">
        <f ca="1">BP27-#REF!</f>
        <v>#REF!</v>
      </c>
    </row>
    <row r="28" spans="1:69" ht="19.5" thickBot="1" x14ac:dyDescent="0.3">
      <c r="A28" s="31" t="s">
        <v>111</v>
      </c>
      <c r="B28" s="32" t="s">
        <v>131</v>
      </c>
      <c r="C28" s="33" t="e">
        <f t="shared" ca="1" si="20"/>
        <v>#REF!</v>
      </c>
      <c r="D28" s="34" t="e">
        <f ca="1">C28-#REF!</f>
        <v>#REF!</v>
      </c>
      <c r="E28" s="35" t="e">
        <f t="shared" ca="1" si="1"/>
        <v>#REF!</v>
      </c>
      <c r="F28" s="34" t="e">
        <f ca="1">E28-#REF!</f>
        <v>#REF!</v>
      </c>
      <c r="G28" s="35" t="e">
        <f t="shared" ca="1" si="2"/>
        <v>#REF!</v>
      </c>
      <c r="H28" s="36" t="e">
        <f ca="1">G28-#REF!</f>
        <v>#REF!</v>
      </c>
      <c r="I28" s="33" t="e">
        <f t="shared" ca="1" si="21"/>
        <v>#REF!</v>
      </c>
      <c r="J28" s="34" t="e">
        <f ca="1">I28-#REF!</f>
        <v>#REF!</v>
      </c>
      <c r="K28" s="35" t="e">
        <f t="shared" ca="1" si="3"/>
        <v>#REF!</v>
      </c>
      <c r="L28" s="34" t="e">
        <f ca="1">K28-#REF!</f>
        <v>#REF!</v>
      </c>
      <c r="M28" s="35" t="e">
        <f t="shared" ca="1" si="4"/>
        <v>#REF!</v>
      </c>
      <c r="N28" s="36" t="e">
        <f ca="1">M28-#REF!</f>
        <v>#REF!</v>
      </c>
      <c r="O28" s="37" t="e">
        <f t="shared" ca="1" si="22"/>
        <v>#REF!</v>
      </c>
      <c r="P28" s="33" t="e">
        <f t="shared" ca="1" si="23"/>
        <v>#REF!</v>
      </c>
      <c r="Q28" s="34" t="e">
        <f ca="1">P28-#REF!</f>
        <v>#REF!</v>
      </c>
      <c r="R28" s="35" t="e">
        <f t="shared" ca="1" si="24"/>
        <v>#REF!</v>
      </c>
      <c r="S28" s="34" t="e">
        <f ca="1">R28-#REF!</f>
        <v>#REF!</v>
      </c>
      <c r="T28" s="35" t="e">
        <f t="shared" ca="1" si="25"/>
        <v>#REF!</v>
      </c>
      <c r="U28" s="36" t="e">
        <f ca="1">T28-#REF!</f>
        <v>#REF!</v>
      </c>
      <c r="V28" s="33" t="e">
        <f t="shared" ca="1" si="26"/>
        <v>#REF!</v>
      </c>
      <c r="W28" s="34" t="e">
        <f ca="1">V28-#REF!</f>
        <v>#REF!</v>
      </c>
      <c r="X28" s="35" t="e">
        <f t="shared" ca="1" si="27"/>
        <v>#REF!</v>
      </c>
      <c r="Y28" s="34" t="e">
        <f ca="1">X28-#REF!</f>
        <v>#REF!</v>
      </c>
      <c r="Z28" s="35" t="e">
        <f t="shared" ca="1" si="5"/>
        <v>#REF!</v>
      </c>
      <c r="AA28" s="36" t="e">
        <f ca="1">Z28-#REF!</f>
        <v>#REF!</v>
      </c>
      <c r="AB28" s="33" t="e">
        <f t="shared" ca="1" si="28"/>
        <v>#REF!</v>
      </c>
      <c r="AC28" s="34" t="e">
        <f ca="1">AB28-#REF!</f>
        <v>#REF!</v>
      </c>
      <c r="AD28" s="35" t="e">
        <f t="shared" ca="1" si="6"/>
        <v>#REF!</v>
      </c>
      <c r="AE28" s="34" t="e">
        <f ca="1">AD28-#REF!</f>
        <v>#REF!</v>
      </c>
      <c r="AF28" s="35" t="e">
        <f t="shared" ca="1" si="7"/>
        <v>#REF!</v>
      </c>
      <c r="AG28" s="36" t="e">
        <f ca="1">AF28-#REF!</f>
        <v>#REF!</v>
      </c>
      <c r="AH28" s="33" t="e">
        <f t="shared" ca="1" si="29"/>
        <v>#REF!</v>
      </c>
      <c r="AI28" s="34" t="e">
        <f ca="1">AH28-#REF!</f>
        <v>#REF!</v>
      </c>
      <c r="AJ28" s="35" t="e">
        <f t="shared" ca="1" si="8"/>
        <v>#REF!</v>
      </c>
      <c r="AK28" s="34" t="e">
        <f ca="1">AJ28-#REF!</f>
        <v>#REF!</v>
      </c>
      <c r="AL28" s="35" t="e">
        <f t="shared" ca="1" si="9"/>
        <v>#REF!</v>
      </c>
      <c r="AM28" s="36" t="e">
        <f ca="1">AL28-#REF!</f>
        <v>#REF!</v>
      </c>
      <c r="AN28" s="33" t="e">
        <f t="shared" ca="1" si="30"/>
        <v>#REF!</v>
      </c>
      <c r="AO28" s="34" t="e">
        <f ca="1">AN28-#REF!</f>
        <v>#REF!</v>
      </c>
      <c r="AP28" s="35" t="e">
        <f t="shared" ca="1" si="10"/>
        <v>#REF!</v>
      </c>
      <c r="AQ28" s="34" t="e">
        <f ca="1">AP28-#REF!</f>
        <v>#REF!</v>
      </c>
      <c r="AR28" s="35" t="e">
        <f t="shared" ca="1" si="11"/>
        <v>#REF!</v>
      </c>
      <c r="AS28" s="36" t="e">
        <f ca="1">AR28-#REF!</f>
        <v>#REF!</v>
      </c>
      <c r="AT28" s="33" t="e">
        <f t="shared" ca="1" si="31"/>
        <v>#REF!</v>
      </c>
      <c r="AU28" s="34" t="e">
        <f ca="1">AT28-#REF!</f>
        <v>#REF!</v>
      </c>
      <c r="AV28" s="35" t="e">
        <f t="shared" ca="1" si="12"/>
        <v>#REF!</v>
      </c>
      <c r="AW28" s="34" t="e">
        <f ca="1">AV28-#REF!</f>
        <v>#REF!</v>
      </c>
      <c r="AX28" s="35" t="e">
        <f t="shared" ca="1" si="13"/>
        <v>#REF!</v>
      </c>
      <c r="AY28" s="36" t="e">
        <f ca="1">AX28-#REF!</f>
        <v>#REF!</v>
      </c>
      <c r="AZ28" s="33" t="e">
        <f t="shared" ca="1" si="32"/>
        <v>#REF!</v>
      </c>
      <c r="BA28" s="34" t="e">
        <f ca="1">AZ28-#REF!</f>
        <v>#REF!</v>
      </c>
      <c r="BB28" s="35" t="e">
        <f t="shared" ca="1" si="14"/>
        <v>#REF!</v>
      </c>
      <c r="BC28" s="34" t="e">
        <f ca="1">BB28-#REF!</f>
        <v>#REF!</v>
      </c>
      <c r="BD28" s="35" t="e">
        <f t="shared" ca="1" si="15"/>
        <v>#REF!</v>
      </c>
      <c r="BE28" s="36" t="e">
        <f ca="1">BD28-#REF!</f>
        <v>#REF!</v>
      </c>
      <c r="BF28" s="33" t="e">
        <f t="shared" ca="1" si="33"/>
        <v>#REF!</v>
      </c>
      <c r="BG28" s="34" t="e">
        <f ca="1">BF28-#REF!</f>
        <v>#REF!</v>
      </c>
      <c r="BH28" s="35" t="e">
        <f t="shared" ca="1" si="16"/>
        <v>#REF!</v>
      </c>
      <c r="BI28" s="34" t="e">
        <f ca="1">BH28-#REF!</f>
        <v>#REF!</v>
      </c>
      <c r="BJ28" s="35" t="e">
        <f t="shared" ca="1" si="17"/>
        <v>#REF!</v>
      </c>
      <c r="BK28" s="36" t="e">
        <f ca="1">BJ28-#REF!</f>
        <v>#REF!</v>
      </c>
      <c r="BL28" s="33" t="e">
        <f t="shared" ca="1" si="18"/>
        <v>#REF!</v>
      </c>
      <c r="BM28" s="34" t="e">
        <f ca="1">BL28-#REF!</f>
        <v>#REF!</v>
      </c>
      <c r="BN28" s="35" t="e">
        <f t="shared" ca="1" si="18"/>
        <v>#REF!</v>
      </c>
      <c r="BO28" s="34" t="e">
        <f ca="1">BN28-#REF!</f>
        <v>#REF!</v>
      </c>
      <c r="BP28" s="35" t="e">
        <f t="shared" ca="1" si="34"/>
        <v>#REF!</v>
      </c>
      <c r="BQ28" s="36" t="e">
        <f ca="1">BP28-#REF!</f>
        <v>#REF!</v>
      </c>
    </row>
    <row r="29" spans="1:69" ht="19.5" thickBot="1" x14ac:dyDescent="0.3">
      <c r="A29" s="44" t="s">
        <v>133</v>
      </c>
      <c r="B29" s="38" t="s">
        <v>134</v>
      </c>
      <c r="C29" s="39" t="e">
        <f ca="1">COUNTIFS(INDIRECT($B29&amp;"["&amp;$B$7&amp;"]"),"&lt;&gt;",INDIRECT($B29&amp;"[ШПК]"),"&lt;&gt;",INDIRECT($B29&amp;"[ПІБ]"),"&lt;&gt;")-SUM(E29,G29)</f>
        <v>#REF!</v>
      </c>
      <c r="D29" s="40"/>
      <c r="E29" s="41" t="e">
        <f t="shared" ca="1" si="1"/>
        <v>#REF!</v>
      </c>
      <c r="F29" s="40"/>
      <c r="G29" s="41" t="e">
        <f t="shared" ca="1" si="2"/>
        <v>#REF!</v>
      </c>
      <c r="H29" s="42"/>
      <c r="I29" s="39" t="e">
        <f t="shared" ca="1" si="21"/>
        <v>#REF!</v>
      </c>
      <c r="J29" s="40"/>
      <c r="K29" s="41" t="e">
        <f ca="1">E29-R29</f>
        <v>#REF!</v>
      </c>
      <c r="L29" s="40"/>
      <c r="M29" s="41" t="e">
        <f ca="1">G29-T29</f>
        <v>#REF!</v>
      </c>
      <c r="N29" s="42"/>
      <c r="O29" s="43" t="e">
        <f t="shared" ca="1" si="22"/>
        <v>#REF!</v>
      </c>
      <c r="P29" s="39" t="e">
        <f t="shared" ca="1" si="23"/>
        <v>#REF!</v>
      </c>
      <c r="Q29" s="40"/>
      <c r="R29" s="41" t="e">
        <f t="shared" ca="1" si="24"/>
        <v>#REF!</v>
      </c>
      <c r="S29" s="40"/>
      <c r="T29" s="41" t="e">
        <f t="shared" ca="1" si="25"/>
        <v>#REF!</v>
      </c>
      <c r="U29" s="42"/>
      <c r="V29" s="39" t="e">
        <f t="shared" ca="1" si="26"/>
        <v>#REF!</v>
      </c>
      <c r="W29" s="40"/>
      <c r="X29" s="41" t="e">
        <f t="shared" ca="1" si="27"/>
        <v>#REF!</v>
      </c>
      <c r="Y29" s="40"/>
      <c r="Z29" s="41" t="e">
        <f t="shared" ca="1" si="5"/>
        <v>#REF!</v>
      </c>
      <c r="AA29" s="42"/>
      <c r="AB29" s="39" t="e">
        <f t="shared" ca="1" si="28"/>
        <v>#REF!</v>
      </c>
      <c r="AC29" s="40"/>
      <c r="AD29" s="41" t="e">
        <f t="shared" ca="1" si="6"/>
        <v>#REF!</v>
      </c>
      <c r="AE29" s="40"/>
      <c r="AF29" s="41" t="e">
        <f t="shared" ca="1" si="7"/>
        <v>#REF!</v>
      </c>
      <c r="AG29" s="42"/>
      <c r="AH29" s="39" t="e">
        <f t="shared" ca="1" si="29"/>
        <v>#REF!</v>
      </c>
      <c r="AI29" s="40"/>
      <c r="AJ29" s="41" t="e">
        <f t="shared" ca="1" si="8"/>
        <v>#REF!</v>
      </c>
      <c r="AK29" s="40"/>
      <c r="AL29" s="41" t="e">
        <f t="shared" ca="1" si="9"/>
        <v>#REF!</v>
      </c>
      <c r="AM29" s="42"/>
      <c r="AN29" s="39" t="e">
        <f t="shared" ca="1" si="30"/>
        <v>#REF!</v>
      </c>
      <c r="AO29" s="40"/>
      <c r="AP29" s="41" t="e">
        <f t="shared" ca="1" si="10"/>
        <v>#REF!</v>
      </c>
      <c r="AQ29" s="40"/>
      <c r="AR29" s="41" t="e">
        <f t="shared" ca="1" si="11"/>
        <v>#REF!</v>
      </c>
      <c r="AS29" s="42"/>
      <c r="AT29" s="39" t="e">
        <f t="shared" ca="1" si="31"/>
        <v>#REF!</v>
      </c>
      <c r="AU29" s="40"/>
      <c r="AV29" s="41" t="e">
        <f t="shared" ca="1" si="12"/>
        <v>#REF!</v>
      </c>
      <c r="AW29" s="40"/>
      <c r="AX29" s="41" t="e">
        <f t="shared" ca="1" si="13"/>
        <v>#REF!</v>
      </c>
      <c r="AY29" s="42"/>
      <c r="AZ29" s="39" t="e">
        <f t="shared" ca="1" si="32"/>
        <v>#REF!</v>
      </c>
      <c r="BA29" s="40"/>
      <c r="BB29" s="41" t="e">
        <f t="shared" ca="1" si="14"/>
        <v>#REF!</v>
      </c>
      <c r="BC29" s="40"/>
      <c r="BD29" s="41" t="e">
        <f t="shared" ca="1" si="15"/>
        <v>#REF!</v>
      </c>
      <c r="BE29" s="42"/>
      <c r="BF29" s="39" t="e">
        <f t="shared" ca="1" si="33"/>
        <v>#REF!</v>
      </c>
      <c r="BG29" s="40"/>
      <c r="BH29" s="41" t="e">
        <f t="shared" ca="1" si="16"/>
        <v>#REF!</v>
      </c>
      <c r="BI29" s="40"/>
      <c r="BJ29" s="41" t="e">
        <f t="shared" ca="1" si="17"/>
        <v>#REF!</v>
      </c>
      <c r="BK29" s="42"/>
      <c r="BL29" s="39" t="e">
        <f ca="1">P29-SUM(V29,AB29,AH29,AN29,AT29,AZ29,BF29)</f>
        <v>#REF!</v>
      </c>
      <c r="BM29" s="40"/>
      <c r="BN29" s="41" t="e">
        <f ca="1">R29-SUM(X29,AD29,AJ29,AP29,AV29,BB29,BH29)</f>
        <v>#REF!</v>
      </c>
      <c r="BO29" s="40"/>
      <c r="BP29" s="41" t="e">
        <f ca="1">T29-SUM(Z29,AF29,AL29,AR29,AX29,BD29,BJ29)</f>
        <v>#REF!</v>
      </c>
      <c r="BQ29" s="42"/>
    </row>
  </sheetData>
  <mergeCells count="48">
    <mergeCell ref="I4:N5"/>
    <mergeCell ref="V4:BQ4"/>
    <mergeCell ref="A4:A6"/>
    <mergeCell ref="BL5:BQ5"/>
    <mergeCell ref="V5:AA5"/>
    <mergeCell ref="AB5:AG5"/>
    <mergeCell ref="AH5:AM5"/>
    <mergeCell ref="AN5:AS5"/>
    <mergeCell ref="AT5:AY5"/>
    <mergeCell ref="AZ5:BE5"/>
    <mergeCell ref="BF5:BK5"/>
    <mergeCell ref="B4:B6"/>
    <mergeCell ref="BP6:BQ6"/>
    <mergeCell ref="C4:H5"/>
    <mergeCell ref="P4:U5"/>
    <mergeCell ref="O4:O6"/>
    <mergeCell ref="BN6:BO6"/>
    <mergeCell ref="BL6:BM6"/>
    <mergeCell ref="BJ6:BK6"/>
    <mergeCell ref="BH6:BI6"/>
    <mergeCell ref="BF6:BG6"/>
    <mergeCell ref="BD6:BE6"/>
    <mergeCell ref="BB6:BC6"/>
    <mergeCell ref="AZ6:BA6"/>
    <mergeCell ref="AX6:AY6"/>
    <mergeCell ref="AV6:AW6"/>
    <mergeCell ref="AT6:AU6"/>
    <mergeCell ref="AR6:AS6"/>
    <mergeCell ref="AP6:AQ6"/>
    <mergeCell ref="AN6:AO6"/>
    <mergeCell ref="AL6:AM6"/>
    <mergeCell ref="AJ6:AK6"/>
    <mergeCell ref="AH6:AI6"/>
    <mergeCell ref="AF6:AG6"/>
    <mergeCell ref="AD6:AE6"/>
    <mergeCell ref="AB6:AC6"/>
    <mergeCell ref="Z6:AA6"/>
    <mergeCell ref="X6:Y6"/>
    <mergeCell ref="V6:W6"/>
    <mergeCell ref="T6:U6"/>
    <mergeCell ref="R6:S6"/>
    <mergeCell ref="E6:F6"/>
    <mergeCell ref="C6:D6"/>
    <mergeCell ref="P6:Q6"/>
    <mergeCell ref="M6:N6"/>
    <mergeCell ref="K6:L6"/>
    <mergeCell ref="I6:J6"/>
    <mergeCell ref="G6:H6"/>
  </mergeCells>
  <conditionalFormatting sqref="D1:D1048576 F1:F1048576 H1:H1048576 J1:J1048576 L1:L1048576 N1:N1048576 Q1:Q1048576 S1:S1048576 U1:U1048576 W1:W1048576 Y1:Y1048576 AA1:AA1048576 AC1:AC1048576 AE1:AE1048576 AG1:AG1048576 AI1:AI1048576 AK1:AK1048576 AM1:AM1048576 AO1:AO1048576 AQ1:AQ1048576 AS1:AS1048576 AU1:AU1048576 AW1:AW1048576 AY1:AY1048576 BA1:BA1048576 BC1:BC1048576 BE1:BE1048576 BG1:BG1048576 BI1:BI1048576 BK1:BK1048576 BM1:BM1048576 BO1:BO1048576 BQ1:BQ1048576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paperSize="9" scale="2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K67"/>
  <sheetViews>
    <sheetView topLeftCell="A34" zoomScale="115" zoomScaleNormal="115" workbookViewId="0">
      <selection activeCell="O52" sqref="A1:XFD1048576"/>
    </sheetView>
  </sheetViews>
  <sheetFormatPr defaultColWidth="9.140625" defaultRowHeight="15" x14ac:dyDescent="0.25"/>
  <cols>
    <col min="1" max="1" width="41.140625" style="1" bestFit="1" customWidth="1"/>
    <col min="2" max="2" width="0" style="1" hidden="1" customWidth="1"/>
    <col min="3" max="3" width="40.140625" style="1" hidden="1" customWidth="1"/>
    <col min="4" max="4" width="30.85546875" style="1" hidden="1" customWidth="1"/>
    <col min="5" max="5" width="16.140625" style="1" hidden="1" customWidth="1"/>
    <col min="6" max="13" width="0" style="1" hidden="1" customWidth="1"/>
    <col min="14" max="16384" width="9.140625" style="1"/>
  </cols>
  <sheetData>
    <row r="1" spans="1:11" ht="15" customHeight="1" x14ac:dyDescent="0.25">
      <c r="A1" s="1" t="s">
        <v>37</v>
      </c>
      <c r="C1" s="1" t="s">
        <v>37</v>
      </c>
      <c r="D1" s="1" t="s">
        <v>38</v>
      </c>
      <c r="E1" s="1" t="s">
        <v>7</v>
      </c>
      <c r="F1" s="1" t="s">
        <v>37</v>
      </c>
      <c r="G1" s="1" t="s">
        <v>38</v>
      </c>
      <c r="H1" s="1" t="s">
        <v>7</v>
      </c>
      <c r="I1" s="1" t="s">
        <v>37</v>
      </c>
      <c r="J1" s="1" t="s">
        <v>38</v>
      </c>
      <c r="K1" s="1" t="s">
        <v>7</v>
      </c>
    </row>
    <row r="2" spans="1:11" x14ac:dyDescent="0.25">
      <c r="A2" s="1" t="s">
        <v>39</v>
      </c>
      <c r="C2" s="1" t="s">
        <v>40</v>
      </c>
      <c r="D2" s="1" t="s">
        <v>41</v>
      </c>
      <c r="E2" s="1" t="s">
        <v>42</v>
      </c>
      <c r="F2" s="1" t="s">
        <v>40</v>
      </c>
      <c r="G2" s="1" t="s">
        <v>41</v>
      </c>
      <c r="H2" s="1" t="s">
        <v>42</v>
      </c>
      <c r="I2" s="1" t="s">
        <v>40</v>
      </c>
      <c r="J2" s="1" t="s">
        <v>41</v>
      </c>
      <c r="K2" s="1" t="s">
        <v>42</v>
      </c>
    </row>
    <row r="3" spans="1:11" x14ac:dyDescent="0.25">
      <c r="A3" s="1" t="s">
        <v>43</v>
      </c>
      <c r="C3" s="1" t="s">
        <v>44</v>
      </c>
      <c r="D3" s="1" t="s">
        <v>45</v>
      </c>
      <c r="E3" s="1" t="s">
        <v>46</v>
      </c>
      <c r="F3" s="1" t="s">
        <v>44</v>
      </c>
      <c r="G3" s="1" t="s">
        <v>45</v>
      </c>
      <c r="H3" s="1" t="s">
        <v>46</v>
      </c>
      <c r="I3" s="1" t="s">
        <v>44</v>
      </c>
      <c r="J3" s="1" t="s">
        <v>45</v>
      </c>
      <c r="K3" s="1" t="s">
        <v>46</v>
      </c>
    </row>
    <row r="4" spans="1:11" ht="15" customHeight="1" x14ac:dyDescent="0.25">
      <c r="A4" s="1" t="s">
        <v>40</v>
      </c>
      <c r="C4" s="1" t="s">
        <v>47</v>
      </c>
      <c r="D4" s="1" t="s">
        <v>48</v>
      </c>
      <c r="E4" s="1" t="s">
        <v>49</v>
      </c>
      <c r="F4" s="1" t="s">
        <v>47</v>
      </c>
      <c r="G4" s="1" t="s">
        <v>48</v>
      </c>
      <c r="H4" s="1" t="s">
        <v>49</v>
      </c>
      <c r="I4" s="1" t="s">
        <v>47</v>
      </c>
      <c r="J4" s="1" t="s">
        <v>48</v>
      </c>
      <c r="K4" s="1" t="s">
        <v>49</v>
      </c>
    </row>
    <row r="5" spans="1:11" x14ac:dyDescent="0.25">
      <c r="A5" s="1" t="s">
        <v>50</v>
      </c>
      <c r="C5" s="1" t="s">
        <v>51</v>
      </c>
      <c r="D5" s="1" t="s">
        <v>9</v>
      </c>
      <c r="E5" s="2" t="s">
        <v>52</v>
      </c>
      <c r="F5" s="1" t="s">
        <v>51</v>
      </c>
      <c r="G5" s="1" t="s">
        <v>9</v>
      </c>
      <c r="H5" s="2" t="s">
        <v>52</v>
      </c>
      <c r="I5" s="1" t="s">
        <v>51</v>
      </c>
      <c r="J5" s="1" t="s">
        <v>9</v>
      </c>
      <c r="K5" s="2" t="s">
        <v>52</v>
      </c>
    </row>
    <row r="6" spans="1:11" x14ac:dyDescent="0.25">
      <c r="A6" s="1" t="s">
        <v>44</v>
      </c>
      <c r="C6" s="1" t="s">
        <v>53</v>
      </c>
      <c r="D6" s="1" t="s">
        <v>10</v>
      </c>
      <c r="E6" s="2" t="s">
        <v>52</v>
      </c>
      <c r="F6" s="1" t="s">
        <v>53</v>
      </c>
      <c r="G6" s="1" t="s">
        <v>10</v>
      </c>
      <c r="H6" s="2" t="s">
        <v>52</v>
      </c>
      <c r="I6" s="1" t="s">
        <v>53</v>
      </c>
      <c r="J6" s="1" t="s">
        <v>10</v>
      </c>
      <c r="K6" s="2" t="s">
        <v>52</v>
      </c>
    </row>
    <row r="7" spans="1:11" x14ac:dyDescent="0.25">
      <c r="A7" s="1" t="s">
        <v>54</v>
      </c>
      <c r="C7" s="1" t="s">
        <v>55</v>
      </c>
      <c r="D7" s="1" t="s">
        <v>56</v>
      </c>
      <c r="E7" s="2" t="s">
        <v>52</v>
      </c>
      <c r="F7" s="1" t="s">
        <v>55</v>
      </c>
      <c r="G7" s="1" t="s">
        <v>56</v>
      </c>
      <c r="H7" s="2" t="s">
        <v>52</v>
      </c>
      <c r="I7" s="1" t="s">
        <v>55</v>
      </c>
      <c r="J7" s="1" t="s">
        <v>56</v>
      </c>
      <c r="K7" s="2" t="s">
        <v>52</v>
      </c>
    </row>
    <row r="8" spans="1:11" x14ac:dyDescent="0.25">
      <c r="A8" s="1" t="s">
        <v>47</v>
      </c>
      <c r="C8" s="1" t="s">
        <v>4</v>
      </c>
      <c r="D8" s="1" t="s">
        <v>57</v>
      </c>
      <c r="E8" s="2" t="s">
        <v>52</v>
      </c>
      <c r="F8" s="1" t="s">
        <v>4</v>
      </c>
      <c r="G8" s="1" t="s">
        <v>57</v>
      </c>
      <c r="H8" s="2" t="s">
        <v>52</v>
      </c>
      <c r="I8" s="1" t="s">
        <v>4</v>
      </c>
      <c r="J8" s="1" t="s">
        <v>57</v>
      </c>
      <c r="K8" s="2" t="s">
        <v>52</v>
      </c>
    </row>
    <row r="9" spans="1:11" x14ac:dyDescent="0.25">
      <c r="A9" s="1" t="s">
        <v>51</v>
      </c>
      <c r="C9" s="1" t="s">
        <v>58</v>
      </c>
      <c r="D9" s="1" t="s">
        <v>59</v>
      </c>
      <c r="E9" s="2" t="s">
        <v>52</v>
      </c>
      <c r="F9" s="1" t="s">
        <v>58</v>
      </c>
      <c r="G9" s="1" t="s">
        <v>59</v>
      </c>
      <c r="H9" s="2" t="s">
        <v>52</v>
      </c>
      <c r="I9" s="1" t="s">
        <v>58</v>
      </c>
      <c r="J9" s="1" t="s">
        <v>59</v>
      </c>
      <c r="K9" s="2" t="s">
        <v>52</v>
      </c>
    </row>
    <row r="10" spans="1:11" x14ac:dyDescent="0.25">
      <c r="A10" s="1" t="s">
        <v>53</v>
      </c>
      <c r="C10" s="1" t="s">
        <v>60</v>
      </c>
      <c r="D10" s="1" t="s">
        <v>61</v>
      </c>
      <c r="E10" s="2" t="s">
        <v>52</v>
      </c>
      <c r="F10" s="1" t="s">
        <v>60</v>
      </c>
      <c r="G10" s="1" t="s">
        <v>61</v>
      </c>
      <c r="H10" s="2" t="s">
        <v>52</v>
      </c>
      <c r="I10" s="1" t="s">
        <v>60</v>
      </c>
      <c r="J10" s="1" t="s">
        <v>61</v>
      </c>
      <c r="K10" s="2" t="s">
        <v>52</v>
      </c>
    </row>
    <row r="11" spans="1:11" x14ac:dyDescent="0.25">
      <c r="A11" s="1" t="s">
        <v>55</v>
      </c>
      <c r="C11" s="1" t="s">
        <v>62</v>
      </c>
      <c r="D11" s="1" t="s">
        <v>63</v>
      </c>
      <c r="E11" s="2" t="s">
        <v>52</v>
      </c>
      <c r="F11" s="1" t="s">
        <v>62</v>
      </c>
      <c r="G11" s="1" t="s">
        <v>63</v>
      </c>
      <c r="H11" s="2" t="s">
        <v>52</v>
      </c>
      <c r="I11" s="1" t="s">
        <v>62</v>
      </c>
      <c r="J11" s="1" t="s">
        <v>63</v>
      </c>
      <c r="K11" s="2" t="s">
        <v>52</v>
      </c>
    </row>
    <row r="12" spans="1:11" x14ac:dyDescent="0.25">
      <c r="A12" s="1" t="s">
        <v>4</v>
      </c>
      <c r="C12" s="1" t="s">
        <v>5</v>
      </c>
      <c r="D12" s="1" t="s">
        <v>64</v>
      </c>
      <c r="E12" s="2" t="s">
        <v>52</v>
      </c>
      <c r="F12" s="1" t="s">
        <v>5</v>
      </c>
      <c r="G12" s="1" t="s">
        <v>64</v>
      </c>
      <c r="H12" s="2" t="s">
        <v>52</v>
      </c>
      <c r="I12" s="1" t="s">
        <v>5</v>
      </c>
      <c r="J12" s="1" t="s">
        <v>64</v>
      </c>
      <c r="K12" s="2" t="s">
        <v>52</v>
      </c>
    </row>
    <row r="13" spans="1:11" x14ac:dyDescent="0.25">
      <c r="A13" s="1" t="s">
        <v>58</v>
      </c>
      <c r="C13" s="1" t="s">
        <v>65</v>
      </c>
      <c r="D13" s="1" t="s">
        <v>66</v>
      </c>
      <c r="E13" s="2" t="s">
        <v>52</v>
      </c>
      <c r="F13" s="1" t="s">
        <v>65</v>
      </c>
      <c r="G13" s="1" t="s">
        <v>66</v>
      </c>
      <c r="H13" s="2" t="s">
        <v>52</v>
      </c>
      <c r="I13" s="1" t="s">
        <v>65</v>
      </c>
      <c r="J13" s="1" t="s">
        <v>66</v>
      </c>
      <c r="K13" s="2" t="s">
        <v>52</v>
      </c>
    </row>
    <row r="14" spans="1:11" x14ac:dyDescent="0.25">
      <c r="A14" s="1" t="s">
        <v>60</v>
      </c>
      <c r="C14" s="1" t="s">
        <v>67</v>
      </c>
      <c r="D14" s="1" t="s">
        <v>68</v>
      </c>
      <c r="E14" s="2" t="s">
        <v>52</v>
      </c>
      <c r="F14" s="1" t="s">
        <v>67</v>
      </c>
      <c r="G14" s="1" t="s">
        <v>68</v>
      </c>
      <c r="H14" s="2" t="s">
        <v>52</v>
      </c>
      <c r="I14" s="1" t="s">
        <v>67</v>
      </c>
      <c r="J14" s="1" t="s">
        <v>68</v>
      </c>
      <c r="K14" s="2" t="s">
        <v>52</v>
      </c>
    </row>
    <row r="15" spans="1:11" x14ac:dyDescent="0.25">
      <c r="A15" s="1" t="s">
        <v>62</v>
      </c>
      <c r="C15" s="1" t="s">
        <v>69</v>
      </c>
      <c r="D15" s="1" t="s">
        <v>70</v>
      </c>
      <c r="E15" s="2" t="s">
        <v>52</v>
      </c>
      <c r="F15" s="1" t="s">
        <v>69</v>
      </c>
      <c r="G15" s="1" t="s">
        <v>70</v>
      </c>
      <c r="H15" s="2" t="s">
        <v>52</v>
      </c>
      <c r="I15" s="1" t="s">
        <v>69</v>
      </c>
      <c r="J15" s="1" t="s">
        <v>70</v>
      </c>
      <c r="K15" s="2" t="s">
        <v>52</v>
      </c>
    </row>
    <row r="16" spans="1:11" x14ac:dyDescent="0.25">
      <c r="A16" s="1" t="s">
        <v>5</v>
      </c>
      <c r="C16" s="1" t="s">
        <v>6</v>
      </c>
      <c r="D16" s="2" t="s">
        <v>52</v>
      </c>
      <c r="E16" s="2" t="s">
        <v>52</v>
      </c>
      <c r="F16" s="1" t="s">
        <v>6</v>
      </c>
      <c r="G16" s="2" t="s">
        <v>52</v>
      </c>
      <c r="H16" s="2" t="s">
        <v>52</v>
      </c>
      <c r="I16" s="1" t="s">
        <v>6</v>
      </c>
      <c r="J16" s="2" t="s">
        <v>52</v>
      </c>
      <c r="K16" s="2" t="s">
        <v>52</v>
      </c>
    </row>
    <row r="17" spans="1:11" x14ac:dyDescent="0.25">
      <c r="A17" s="1" t="s">
        <v>65</v>
      </c>
      <c r="C17" s="1" t="s">
        <v>71</v>
      </c>
      <c r="D17" s="2" t="s">
        <v>52</v>
      </c>
      <c r="E17" s="2" t="s">
        <v>52</v>
      </c>
      <c r="F17" s="1" t="s">
        <v>71</v>
      </c>
      <c r="G17" s="2" t="s">
        <v>52</v>
      </c>
      <c r="H17" s="2" t="s">
        <v>52</v>
      </c>
      <c r="I17" s="1" t="s">
        <v>71</v>
      </c>
      <c r="J17" s="2" t="s">
        <v>52</v>
      </c>
      <c r="K17" s="2" t="s">
        <v>52</v>
      </c>
    </row>
    <row r="18" spans="1:11" x14ac:dyDescent="0.25">
      <c r="A18" s="1" t="s">
        <v>67</v>
      </c>
      <c r="C18" s="1" t="s">
        <v>72</v>
      </c>
      <c r="D18" s="2" t="s">
        <v>52</v>
      </c>
      <c r="E18" s="2" t="s">
        <v>52</v>
      </c>
      <c r="F18" s="1" t="s">
        <v>72</v>
      </c>
      <c r="G18" s="2" t="s">
        <v>52</v>
      </c>
      <c r="H18" s="2" t="s">
        <v>52</v>
      </c>
      <c r="I18" s="1" t="s">
        <v>72</v>
      </c>
      <c r="J18" s="2" t="s">
        <v>52</v>
      </c>
      <c r="K18" s="2" t="s">
        <v>52</v>
      </c>
    </row>
    <row r="19" spans="1:11" x14ac:dyDescent="0.25">
      <c r="A19" s="1" t="s">
        <v>69</v>
      </c>
      <c r="C19" s="1" t="s">
        <v>73</v>
      </c>
      <c r="D19" s="2" t="s">
        <v>52</v>
      </c>
      <c r="E19" s="2" t="s">
        <v>52</v>
      </c>
      <c r="F19" s="1" t="s">
        <v>73</v>
      </c>
      <c r="G19" s="2" t="s">
        <v>52</v>
      </c>
      <c r="H19" s="2" t="s">
        <v>52</v>
      </c>
      <c r="I19" s="1" t="s">
        <v>73</v>
      </c>
      <c r="J19" s="2" t="s">
        <v>52</v>
      </c>
      <c r="K19" s="2" t="s">
        <v>52</v>
      </c>
    </row>
    <row r="20" spans="1:11" x14ac:dyDescent="0.25">
      <c r="A20" s="1" t="s">
        <v>6</v>
      </c>
      <c r="C20" s="1" t="s">
        <v>74</v>
      </c>
      <c r="D20" s="2" t="s">
        <v>52</v>
      </c>
      <c r="E20" s="2" t="s">
        <v>52</v>
      </c>
      <c r="F20" s="1" t="s">
        <v>74</v>
      </c>
      <c r="G20" s="2" t="s">
        <v>52</v>
      </c>
      <c r="H20" s="2" t="s">
        <v>52</v>
      </c>
      <c r="I20" s="1" t="s">
        <v>74</v>
      </c>
      <c r="J20" s="2" t="s">
        <v>52</v>
      </c>
      <c r="K20" s="2" t="s">
        <v>52</v>
      </c>
    </row>
    <row r="21" spans="1:11" x14ac:dyDescent="0.25">
      <c r="A21" s="1" t="s">
        <v>71</v>
      </c>
      <c r="C21" s="1" t="s">
        <v>75</v>
      </c>
      <c r="D21" s="2" t="s">
        <v>52</v>
      </c>
      <c r="E21" s="2" t="s">
        <v>52</v>
      </c>
      <c r="F21" s="1" t="s">
        <v>75</v>
      </c>
      <c r="G21" s="2" t="s">
        <v>52</v>
      </c>
      <c r="H21" s="2" t="s">
        <v>52</v>
      </c>
      <c r="I21" s="1" t="s">
        <v>75</v>
      </c>
      <c r="J21" s="2" t="s">
        <v>52</v>
      </c>
      <c r="K21" s="2" t="s">
        <v>52</v>
      </c>
    </row>
    <row r="22" spans="1:11" x14ac:dyDescent="0.25">
      <c r="A22" s="1" t="s">
        <v>72</v>
      </c>
      <c r="C22" s="1" t="s">
        <v>76</v>
      </c>
      <c r="D22" s="2" t="s">
        <v>52</v>
      </c>
      <c r="E22" s="2" t="s">
        <v>52</v>
      </c>
      <c r="F22" s="1" t="s">
        <v>76</v>
      </c>
      <c r="G22" s="2" t="s">
        <v>52</v>
      </c>
      <c r="H22" s="2" t="s">
        <v>52</v>
      </c>
      <c r="I22" s="1" t="s">
        <v>76</v>
      </c>
      <c r="J22" s="2" t="s">
        <v>52</v>
      </c>
      <c r="K22" s="2" t="s">
        <v>52</v>
      </c>
    </row>
    <row r="23" spans="1:11" x14ac:dyDescent="0.25">
      <c r="A23" s="1" t="s">
        <v>73</v>
      </c>
      <c r="C23" s="1" t="s">
        <v>77</v>
      </c>
      <c r="D23" s="2" t="s">
        <v>52</v>
      </c>
      <c r="E23" s="2" t="s">
        <v>52</v>
      </c>
      <c r="F23" s="1" t="s">
        <v>77</v>
      </c>
      <c r="G23" s="2" t="s">
        <v>52</v>
      </c>
      <c r="H23" s="2" t="s">
        <v>52</v>
      </c>
      <c r="I23" s="1" t="s">
        <v>77</v>
      </c>
      <c r="J23" s="2" t="s">
        <v>52</v>
      </c>
      <c r="K23" s="2" t="s">
        <v>52</v>
      </c>
    </row>
    <row r="24" spans="1:11" x14ac:dyDescent="0.25">
      <c r="A24" s="1" t="s">
        <v>74</v>
      </c>
      <c r="C24" s="1" t="s">
        <v>78</v>
      </c>
      <c r="D24" s="2" t="s">
        <v>52</v>
      </c>
      <c r="E24" s="2" t="s">
        <v>52</v>
      </c>
      <c r="F24" s="1" t="s">
        <v>78</v>
      </c>
      <c r="G24" s="2" t="s">
        <v>52</v>
      </c>
      <c r="H24" s="2" t="s">
        <v>52</v>
      </c>
      <c r="I24" s="1" t="s">
        <v>78</v>
      </c>
      <c r="J24" s="2" t="s">
        <v>52</v>
      </c>
      <c r="K24" s="2" t="s">
        <v>52</v>
      </c>
    </row>
    <row r="25" spans="1:11" x14ac:dyDescent="0.25">
      <c r="A25" s="1" t="s">
        <v>75</v>
      </c>
      <c r="C25" s="1" t="s">
        <v>79</v>
      </c>
      <c r="D25" s="2" t="s">
        <v>52</v>
      </c>
      <c r="E25" s="2" t="s">
        <v>52</v>
      </c>
      <c r="F25" s="1" t="s">
        <v>79</v>
      </c>
      <c r="G25" s="2" t="s">
        <v>52</v>
      </c>
      <c r="H25" s="2" t="s">
        <v>52</v>
      </c>
      <c r="I25" s="1" t="s">
        <v>79</v>
      </c>
      <c r="J25" s="2" t="s">
        <v>52</v>
      </c>
      <c r="K25" s="2" t="s">
        <v>52</v>
      </c>
    </row>
    <row r="26" spans="1:11" x14ac:dyDescent="0.25">
      <c r="A26" s="1" t="s">
        <v>76</v>
      </c>
      <c r="C26" s="1" t="s">
        <v>80</v>
      </c>
      <c r="D26" s="2" t="s">
        <v>52</v>
      </c>
      <c r="E26" s="2" t="s">
        <v>52</v>
      </c>
      <c r="F26" s="1" t="s">
        <v>80</v>
      </c>
      <c r="G26" s="2" t="s">
        <v>52</v>
      </c>
      <c r="H26" s="2" t="s">
        <v>52</v>
      </c>
      <c r="I26" s="1" t="s">
        <v>80</v>
      </c>
      <c r="J26" s="2" t="s">
        <v>52</v>
      </c>
      <c r="K26" s="2" t="s">
        <v>52</v>
      </c>
    </row>
    <row r="27" spans="1:11" x14ac:dyDescent="0.25">
      <c r="A27" s="1" t="s">
        <v>77</v>
      </c>
      <c r="C27" s="1" t="s">
        <v>81</v>
      </c>
      <c r="D27" s="2" t="s">
        <v>52</v>
      </c>
      <c r="E27" s="2" t="s">
        <v>52</v>
      </c>
      <c r="F27" s="1" t="s">
        <v>81</v>
      </c>
      <c r="G27" s="2" t="s">
        <v>52</v>
      </c>
      <c r="H27" s="2" t="s">
        <v>52</v>
      </c>
      <c r="I27" s="1" t="s">
        <v>81</v>
      </c>
      <c r="J27" s="2" t="s">
        <v>52</v>
      </c>
      <c r="K27" s="2" t="s">
        <v>52</v>
      </c>
    </row>
    <row r="28" spans="1:11" x14ac:dyDescent="0.25">
      <c r="A28" s="1" t="s">
        <v>78</v>
      </c>
      <c r="C28" s="1" t="s">
        <v>82</v>
      </c>
      <c r="D28" s="2" t="s">
        <v>52</v>
      </c>
      <c r="E28" s="2" t="s">
        <v>52</v>
      </c>
      <c r="F28" s="1" t="s">
        <v>82</v>
      </c>
      <c r="G28" s="2" t="s">
        <v>52</v>
      </c>
      <c r="H28" s="2" t="s">
        <v>52</v>
      </c>
      <c r="I28" s="1" t="s">
        <v>82</v>
      </c>
      <c r="J28" s="2" t="s">
        <v>52</v>
      </c>
      <c r="K28" s="2" t="s">
        <v>52</v>
      </c>
    </row>
    <row r="29" spans="1:11" x14ac:dyDescent="0.25">
      <c r="A29" s="1" t="s">
        <v>79</v>
      </c>
      <c r="C29" s="1" t="s">
        <v>83</v>
      </c>
      <c r="D29" s="2" t="s">
        <v>52</v>
      </c>
      <c r="E29" s="2" t="s">
        <v>52</v>
      </c>
      <c r="F29" s="1" t="s">
        <v>83</v>
      </c>
      <c r="G29" s="2" t="s">
        <v>52</v>
      </c>
      <c r="H29" s="2" t="s">
        <v>52</v>
      </c>
      <c r="I29" s="1" t="s">
        <v>83</v>
      </c>
      <c r="J29" s="2" t="s">
        <v>52</v>
      </c>
      <c r="K29" s="2" t="s">
        <v>52</v>
      </c>
    </row>
    <row r="30" spans="1:11" x14ac:dyDescent="0.25">
      <c r="A30" s="1" t="s">
        <v>80</v>
      </c>
      <c r="C30" s="1" t="s">
        <v>84</v>
      </c>
      <c r="D30" s="2" t="s">
        <v>52</v>
      </c>
      <c r="E30" s="2" t="s">
        <v>52</v>
      </c>
      <c r="F30" s="1" t="s">
        <v>84</v>
      </c>
      <c r="G30" s="2" t="s">
        <v>52</v>
      </c>
      <c r="H30" s="2" t="s">
        <v>52</v>
      </c>
      <c r="I30" s="1" t="s">
        <v>84</v>
      </c>
      <c r="J30" s="2" t="s">
        <v>52</v>
      </c>
      <c r="K30" s="2" t="s">
        <v>52</v>
      </c>
    </row>
    <row r="31" spans="1:11" x14ac:dyDescent="0.25">
      <c r="A31" s="1" t="s">
        <v>81</v>
      </c>
      <c r="C31" s="1" t="s">
        <v>85</v>
      </c>
      <c r="D31" s="2" t="s">
        <v>52</v>
      </c>
      <c r="E31" s="2" t="s">
        <v>52</v>
      </c>
      <c r="F31" s="1" t="s">
        <v>85</v>
      </c>
      <c r="G31" s="2" t="s">
        <v>52</v>
      </c>
      <c r="H31" s="2" t="s">
        <v>52</v>
      </c>
      <c r="I31" s="1" t="s">
        <v>85</v>
      </c>
      <c r="J31" s="2" t="s">
        <v>52</v>
      </c>
      <c r="K31" s="2" t="s">
        <v>52</v>
      </c>
    </row>
    <row r="32" spans="1:11" ht="15" customHeight="1" x14ac:dyDescent="0.25">
      <c r="A32" s="1" t="s">
        <v>82</v>
      </c>
      <c r="C32" s="1" t="s">
        <v>86</v>
      </c>
      <c r="D32" s="2" t="s">
        <v>52</v>
      </c>
      <c r="E32" s="2" t="s">
        <v>52</v>
      </c>
      <c r="F32" s="1" t="s">
        <v>86</v>
      </c>
      <c r="G32" s="2" t="s">
        <v>52</v>
      </c>
      <c r="H32" s="2" t="s">
        <v>52</v>
      </c>
      <c r="I32" s="1" t="s">
        <v>86</v>
      </c>
      <c r="J32" s="2" t="s">
        <v>52</v>
      </c>
      <c r="K32" s="2" t="s">
        <v>52</v>
      </c>
    </row>
    <row r="33" spans="1:11" x14ac:dyDescent="0.25">
      <c r="A33" s="1" t="s">
        <v>83</v>
      </c>
      <c r="C33" s="1" t="s">
        <v>87</v>
      </c>
      <c r="D33" s="2" t="s">
        <v>52</v>
      </c>
      <c r="E33" s="2" t="s">
        <v>52</v>
      </c>
      <c r="F33" s="1" t="s">
        <v>87</v>
      </c>
      <c r="G33" s="2" t="s">
        <v>52</v>
      </c>
      <c r="H33" s="2" t="s">
        <v>52</v>
      </c>
      <c r="I33" s="1" t="s">
        <v>87</v>
      </c>
      <c r="J33" s="2" t="s">
        <v>52</v>
      </c>
      <c r="K33" s="2" t="s">
        <v>52</v>
      </c>
    </row>
    <row r="34" spans="1:11" x14ac:dyDescent="0.25">
      <c r="A34" s="1" t="s">
        <v>84</v>
      </c>
      <c r="C34" s="1" t="s">
        <v>88</v>
      </c>
      <c r="D34" s="2" t="s">
        <v>52</v>
      </c>
      <c r="E34" s="2" t="s">
        <v>52</v>
      </c>
      <c r="F34" s="1" t="s">
        <v>88</v>
      </c>
      <c r="G34" s="2" t="s">
        <v>52</v>
      </c>
      <c r="H34" s="2" t="s">
        <v>52</v>
      </c>
      <c r="I34" s="1" t="s">
        <v>88</v>
      </c>
      <c r="J34" s="2" t="s">
        <v>52</v>
      </c>
      <c r="K34" s="2" t="s">
        <v>52</v>
      </c>
    </row>
    <row r="35" spans="1:11" x14ac:dyDescent="0.25">
      <c r="A35" s="1" t="s">
        <v>85</v>
      </c>
      <c r="C35" s="1" t="s">
        <v>89</v>
      </c>
      <c r="D35" s="2" t="s">
        <v>52</v>
      </c>
      <c r="E35" s="2" t="s">
        <v>52</v>
      </c>
      <c r="F35" s="1" t="s">
        <v>89</v>
      </c>
      <c r="G35" s="2" t="s">
        <v>52</v>
      </c>
      <c r="H35" s="2" t="s">
        <v>52</v>
      </c>
      <c r="I35" s="1" t="s">
        <v>89</v>
      </c>
      <c r="J35" s="2" t="s">
        <v>52</v>
      </c>
      <c r="K35" s="2" t="s">
        <v>52</v>
      </c>
    </row>
    <row r="36" spans="1:11" x14ac:dyDescent="0.25">
      <c r="A36" s="1" t="s">
        <v>38</v>
      </c>
      <c r="C36" s="1" t="s">
        <v>90</v>
      </c>
      <c r="D36" s="2" t="s">
        <v>52</v>
      </c>
      <c r="E36" s="2" t="s">
        <v>52</v>
      </c>
      <c r="F36" s="1" t="s">
        <v>90</v>
      </c>
      <c r="G36" s="2" t="s">
        <v>52</v>
      </c>
      <c r="H36" s="2" t="s">
        <v>52</v>
      </c>
      <c r="I36" s="1" t="s">
        <v>90</v>
      </c>
      <c r="J36" s="2" t="s">
        <v>52</v>
      </c>
      <c r="K36" s="2" t="s">
        <v>52</v>
      </c>
    </row>
    <row r="37" spans="1:11" x14ac:dyDescent="0.25">
      <c r="A37" s="1" t="s">
        <v>91</v>
      </c>
      <c r="C37" s="1" t="s">
        <v>92</v>
      </c>
      <c r="D37" s="2" t="s">
        <v>52</v>
      </c>
      <c r="E37" s="2" t="s">
        <v>52</v>
      </c>
      <c r="F37" s="1" t="s">
        <v>92</v>
      </c>
      <c r="G37" s="2" t="s">
        <v>52</v>
      </c>
      <c r="H37" s="2" t="s">
        <v>52</v>
      </c>
      <c r="I37" s="1" t="s">
        <v>92</v>
      </c>
      <c r="J37" s="2" t="s">
        <v>52</v>
      </c>
      <c r="K37" s="2" t="s">
        <v>52</v>
      </c>
    </row>
    <row r="38" spans="1:11" x14ac:dyDescent="0.25">
      <c r="A38" s="1" t="s">
        <v>41</v>
      </c>
      <c r="C38" s="1" t="s">
        <v>93</v>
      </c>
      <c r="D38" s="2" t="s">
        <v>52</v>
      </c>
      <c r="E38" s="2" t="s">
        <v>52</v>
      </c>
      <c r="F38" s="1" t="s">
        <v>93</v>
      </c>
      <c r="G38" s="2" t="s">
        <v>52</v>
      </c>
      <c r="H38" s="2" t="s">
        <v>52</v>
      </c>
      <c r="I38" s="1" t="s">
        <v>93</v>
      </c>
      <c r="J38" s="2" t="s">
        <v>52</v>
      </c>
      <c r="K38" s="2" t="s">
        <v>52</v>
      </c>
    </row>
    <row r="39" spans="1:11" x14ac:dyDescent="0.25">
      <c r="A39" s="1" t="s">
        <v>45</v>
      </c>
      <c r="C39" s="1" t="s">
        <v>94</v>
      </c>
      <c r="D39" s="2" t="s">
        <v>52</v>
      </c>
      <c r="E39" s="2" t="s">
        <v>52</v>
      </c>
      <c r="F39" s="1" t="s">
        <v>94</v>
      </c>
      <c r="G39" s="2" t="s">
        <v>52</v>
      </c>
      <c r="H39" s="2" t="s">
        <v>52</v>
      </c>
      <c r="I39" s="1" t="s">
        <v>94</v>
      </c>
      <c r="J39" s="2" t="s">
        <v>52</v>
      </c>
      <c r="K39" s="2" t="s">
        <v>52</v>
      </c>
    </row>
    <row r="40" spans="1:11" ht="15" customHeight="1" x14ac:dyDescent="0.25">
      <c r="A40" s="1" t="s">
        <v>48</v>
      </c>
      <c r="C40" s="1" t="s">
        <v>95</v>
      </c>
      <c r="D40" s="2" t="s">
        <v>52</v>
      </c>
      <c r="E40" s="2" t="s">
        <v>52</v>
      </c>
      <c r="F40" s="1" t="s">
        <v>95</v>
      </c>
      <c r="G40" s="2" t="s">
        <v>52</v>
      </c>
      <c r="H40" s="2" t="s">
        <v>52</v>
      </c>
      <c r="I40" s="1" t="s">
        <v>95</v>
      </c>
      <c r="J40" s="2" t="s">
        <v>52</v>
      </c>
      <c r="K40" s="2" t="s">
        <v>52</v>
      </c>
    </row>
    <row r="41" spans="1:11" x14ac:dyDescent="0.25">
      <c r="A41" s="1" t="s">
        <v>9</v>
      </c>
      <c r="C41" s="1" t="s">
        <v>78</v>
      </c>
      <c r="D41" s="2" t="s">
        <v>52</v>
      </c>
      <c r="E41" s="2" t="s">
        <v>52</v>
      </c>
      <c r="F41" s="1" t="s">
        <v>78</v>
      </c>
      <c r="G41" s="2" t="s">
        <v>52</v>
      </c>
      <c r="H41" s="2" t="s">
        <v>52</v>
      </c>
      <c r="I41" s="1" t="s">
        <v>78</v>
      </c>
      <c r="J41" s="2" t="s">
        <v>52</v>
      </c>
      <c r="K41" s="2" t="s">
        <v>52</v>
      </c>
    </row>
    <row r="42" spans="1:11" x14ac:dyDescent="0.25">
      <c r="A42" s="1" t="s">
        <v>10</v>
      </c>
      <c r="C42" s="1" t="s">
        <v>82</v>
      </c>
      <c r="D42" s="2" t="s">
        <v>52</v>
      </c>
      <c r="E42" s="2" t="s">
        <v>52</v>
      </c>
      <c r="F42" s="1" t="s">
        <v>82</v>
      </c>
      <c r="G42" s="2" t="s">
        <v>52</v>
      </c>
      <c r="H42" s="2" t="s">
        <v>52</v>
      </c>
      <c r="I42" s="1" t="s">
        <v>82</v>
      </c>
      <c r="J42" s="2" t="s">
        <v>52</v>
      </c>
      <c r="K42" s="2" t="s">
        <v>52</v>
      </c>
    </row>
    <row r="43" spans="1:11" x14ac:dyDescent="0.25">
      <c r="A43" s="1" t="s">
        <v>56</v>
      </c>
    </row>
    <row r="44" spans="1:11" x14ac:dyDescent="0.25">
      <c r="A44" s="1" t="s">
        <v>7</v>
      </c>
    </row>
    <row r="45" spans="1:11" x14ac:dyDescent="0.25">
      <c r="A45" s="1" t="s">
        <v>8</v>
      </c>
    </row>
    <row r="46" spans="1:11" x14ac:dyDescent="0.25">
      <c r="A46" s="1" t="s">
        <v>86</v>
      </c>
    </row>
    <row r="47" spans="1:11" x14ac:dyDescent="0.25">
      <c r="A47" s="1" t="s">
        <v>87</v>
      </c>
    </row>
    <row r="48" spans="1:11" x14ac:dyDescent="0.25">
      <c r="A48" s="1" t="s">
        <v>88</v>
      </c>
    </row>
    <row r="49" spans="1:1" x14ac:dyDescent="0.25">
      <c r="A49" s="1" t="s">
        <v>89</v>
      </c>
    </row>
    <row r="50" spans="1:1" x14ac:dyDescent="0.25">
      <c r="A50" s="1" t="s">
        <v>90</v>
      </c>
    </row>
    <row r="51" spans="1:1" x14ac:dyDescent="0.25">
      <c r="A51" s="1" t="s">
        <v>92</v>
      </c>
    </row>
    <row r="52" spans="1:1" x14ac:dyDescent="0.25">
      <c r="A52" s="1" t="s">
        <v>93</v>
      </c>
    </row>
    <row r="53" spans="1:1" x14ac:dyDescent="0.25">
      <c r="A53" s="1" t="s">
        <v>94</v>
      </c>
    </row>
    <row r="54" spans="1:1" x14ac:dyDescent="0.25">
      <c r="A54" s="1" t="s">
        <v>95</v>
      </c>
    </row>
    <row r="55" spans="1:1" x14ac:dyDescent="0.25">
      <c r="A55" s="1" t="s">
        <v>78</v>
      </c>
    </row>
    <row r="56" spans="1:1" x14ac:dyDescent="0.25">
      <c r="A56" s="1" t="s">
        <v>82</v>
      </c>
    </row>
    <row r="57" spans="1:1" x14ac:dyDescent="0.25">
      <c r="A57" s="1" t="s">
        <v>57</v>
      </c>
    </row>
    <row r="58" spans="1:1" x14ac:dyDescent="0.25">
      <c r="A58" s="1" t="s">
        <v>59</v>
      </c>
    </row>
    <row r="59" spans="1:1" x14ac:dyDescent="0.25">
      <c r="A59" s="1" t="s">
        <v>61</v>
      </c>
    </row>
    <row r="60" spans="1:1" x14ac:dyDescent="0.25">
      <c r="A60" s="1" t="s">
        <v>63</v>
      </c>
    </row>
    <row r="61" spans="1:1" x14ac:dyDescent="0.25">
      <c r="A61" s="1" t="s">
        <v>64</v>
      </c>
    </row>
    <row r="62" spans="1:1" x14ac:dyDescent="0.25">
      <c r="A62" s="1" t="s">
        <v>66</v>
      </c>
    </row>
    <row r="63" spans="1:1" x14ac:dyDescent="0.25">
      <c r="A63" s="1" t="s">
        <v>68</v>
      </c>
    </row>
    <row r="64" spans="1:1" x14ac:dyDescent="0.25">
      <c r="A64" s="1" t="s">
        <v>70</v>
      </c>
    </row>
    <row r="65" spans="1:1" x14ac:dyDescent="0.25">
      <c r="A65" s="1" t="s">
        <v>42</v>
      </c>
    </row>
    <row r="66" spans="1:1" x14ac:dyDescent="0.25">
      <c r="A66" s="1" t="s">
        <v>46</v>
      </c>
    </row>
    <row r="67" spans="1:1" x14ac:dyDescent="0.25">
      <c r="A67" s="1" t="s">
        <v>49</v>
      </c>
    </row>
  </sheetData>
  <sheetProtection algorithmName="SHA-512" hashValue="jEMXKWoAg8kxmMi0JfPU+9LwrYC2dt4XqLpqm19hVUlN8AlpuHxbr6jzAdLl6FzA/nccoIRocCp3AQ1s2vRbPg==" saltValue="sxy2vv0vguYJuQ9Vp2Hum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5. Тимчасово відсутні</vt:lpstr>
      <vt:lpstr>Т (Х)</vt:lpstr>
      <vt:lpstr>5. Тимчасово відсутні_copy</vt:lpstr>
      <vt:lpstr>'Т (Х)'!Print_Area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Бондаренко Александр</cp:lastModifiedBy>
  <cp:revision/>
  <cp:lastPrinted>2026-01-22T09:36:00Z</cp:lastPrinted>
  <dcterms:created xsi:type="dcterms:W3CDTF">2023-10-12T10:15:26Z</dcterms:created>
  <dcterms:modified xsi:type="dcterms:W3CDTF">2026-10-16T07:08:39Z</dcterms:modified>
  <cp:category/>
  <cp:contentStatus/>
</cp:coreProperties>
</file>